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7052B3D4-1963-47AD-9304-C49EAECDFD75}" xr6:coauthVersionLast="47" xr6:coauthVersionMax="47" xr10:uidLastSave="{00000000-0000-0000-0000-000000000000}"/>
  <bookViews>
    <workbookView xWindow="0" yWindow="0" windowWidth="0" windowHeight="0" firstSheet="3" activeTab="6" xr2:uid="{00000000-000D-0000-FFFF-FFFF00000000}"/>
  </bookViews>
  <sheets>
    <sheet name="Solution Design Review" sheetId="1" r:id="rId1"/>
    <sheet name="Data Readiness &amp; Compliance" sheetId="3" r:id="rId2"/>
    <sheet name="Human Oversight Plan" sheetId="5" r:id="rId3"/>
    <sheet name="G3-Responsible AI Dev Checklist" sheetId="7" r:id="rId4"/>
    <sheet name="G3-Model Card" sheetId="9" r:id="rId5"/>
    <sheet name="G4-Deployment Approval Record" sheetId="10" r:id="rId6"/>
    <sheet name="G5-Go-Live Record" sheetId="12" r:id="rId7"/>
  </sheets>
  <definedNames>
    <definedName name="_xlnm._FilterDatabase" localSheetId="0" hidden="1">'Solution Design Review'!$A$58:$F$62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0" l="1"/>
  <c r="A56" i="7" a="1"/>
  <c r="A56" i="7"/>
  <c r="A62" i="1" a="1"/>
  <c r="A62" i="1"/>
  <c r="A54" i="7"/>
  <c r="F56" i="7" a="1"/>
  <c r="F56" i="7" s="1"/>
  <c r="A38" i="3" a="1"/>
  <c r="A38" i="3"/>
  <c r="A36" i="3"/>
  <c r="F38" i="3" a="1"/>
  <c r="F38" i="3"/>
  <c r="F62" i="1" a="1"/>
  <c r="F62" i="1"/>
  <c r="A6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<sst xmlns="http://schemas.openxmlformats.org/spreadsheetml/2006/main" count="422" uniqueCount="340">
  <si>
    <t>SOLUTION DESIGN - RESPONSIBLE AI REVIEW CHECKLIST</t>
  </si>
  <si>
    <t xml:space="preserve"> DOCUMENT REFERENCE</t>
  </si>
  <si>
    <t>AI Use Case Name</t>
  </si>
  <si>
    <t>Environment</t>
  </si>
  <si>
    <t>PART 1 - TECHNICAL DESIGN AREAS</t>
  </si>
  <si>
    <t>Design / Compliance Requirement</t>
  </si>
  <si>
    <t>Addressed?</t>
  </si>
  <si>
    <t>Where in Design</t>
  </si>
  <si>
    <t>Notes / Gaps</t>
  </si>
  <si>
    <t xml:space="preserve">  A.  SOLUTION ARCHITECTURE</t>
  </si>
  <si>
    <t>High-level system diagram produced (includes components, data flows, integration methods)</t>
  </si>
  <si>
    <t>Scalability and availability requirements stated (concurrent users, SLA, failover strategy)</t>
  </si>
  <si>
    <t xml:space="preserve">  B.  MODEL / AI COMPONENT DESIGN</t>
  </si>
  <si>
    <t>Model selected with rationale documented</t>
  </si>
  <si>
    <t>For LLM/RAG: embedding model, vector store, retrieval strategy, and chunking approach specified</t>
  </si>
  <si>
    <t>For LLM models: Prompt engineering approach defined (system prompt, guardrails, output formatting)</t>
  </si>
  <si>
    <t>For ML models: feature engineering approach defined</t>
  </si>
  <si>
    <t xml:space="preserve">For ML models: Model versioning and experiment tracking approach confirmed </t>
  </si>
  <si>
    <t>For ML models: Retraining / fine-tuning trigger conditions defined (drift threshold, scheduleed retraining, event-based)</t>
  </si>
  <si>
    <t xml:space="preserve">  C.  INTEGRATION &amp; API DESIGN</t>
  </si>
  <si>
    <t xml:space="preserve">All upstream (inputs) and downstream (outputs) system integrations identified and documented </t>
  </si>
  <si>
    <t>Error handling and retry logic specified at each integration boundary</t>
  </si>
  <si>
    <t>Rate limiting defined to prevent overload</t>
  </si>
  <si>
    <t xml:space="preserve">  D.  INFRASTRUCTURE &amp; ENVIRONMENT</t>
  </si>
  <si>
    <t>Infrastructure components specified compute, storage, and GPU/CPU requirements</t>
  </si>
  <si>
    <t>Containerisation/packaging approach defined if applicable (e.g. Docker, Kubernetes)</t>
  </si>
  <si>
    <t xml:space="preserve">  E.  MONITORING </t>
  </si>
  <si>
    <t>Logging requirements defined (what is logged, at what granularity)</t>
  </si>
  <si>
    <t>Monitoring stack selected appropriate to system type, if required (specialized tools for infrastraucture, model drift, and LLMs)</t>
  </si>
  <si>
    <t>Alerting thresholds and notification channels defined for performance and error conditions, if required</t>
  </si>
  <si>
    <t>Audit trail requirements defined, if required (user interactions, model version at inference time)</t>
  </si>
  <si>
    <t>PART 2 - RESPONSIBLE AI VALIDATION</t>
  </si>
  <si>
    <t>Compliance Requirement</t>
  </si>
  <si>
    <t xml:space="preserve">  A.  ACCOUNTABILITY</t>
  </si>
  <si>
    <t>No AI output will trigger an autonomous high-risk external-facing action without documented human approval</t>
  </si>
  <si>
    <t xml:space="preserve">  B.  TRANSPARENCY</t>
  </si>
  <si>
    <t>System purpose, intended use, and known limitations are documented in the Scope of Work</t>
  </si>
  <si>
    <t>Disclosure requirements defined for each user group (i.e. what additional information accompanies every AI output)</t>
  </si>
  <si>
    <t>Inference logging specified as a functional requirement (query, output, model version, timestamp)</t>
  </si>
  <si>
    <t>Source attribution defined as a requirement for RAG-based systems (if applicable)</t>
  </si>
  <si>
    <t xml:space="preserve">  C.  EXPLAINABILITY</t>
  </si>
  <si>
    <t>Explainability method selected, if required (specialized tool for ML, citation-backed generation for RAG/LLM)</t>
  </si>
  <si>
    <t>Required explanation depth defined per target user defined</t>
  </si>
  <si>
    <t>Explanations are a functional requirement in the design (if applicable)</t>
  </si>
  <si>
    <t xml:space="preserve">  D.  FAIRNESS</t>
  </si>
  <si>
    <t>Fairness metrics and acceptable thresholds defined (if applicable)</t>
  </si>
  <si>
    <t>Fairness guardrail approach defined using specialized tools (if applicable)</t>
  </si>
  <si>
    <t xml:space="preserve">  E.  RELIABILITY</t>
  </si>
  <si>
    <t>Performance KPIs defined (accuracy, latency, throughput, availability) as measurable acceptance criteria in Scope of Work</t>
  </si>
  <si>
    <t>Failure modes and fallback behaviour defined for each critical AI component (if applicable)</t>
  </si>
  <si>
    <t>Testing approach specified if applicable (smoke / regression / load / edge case)</t>
  </si>
  <si>
    <t xml:space="preserve">  F.  SECURITY</t>
  </si>
  <si>
    <t>Role-based access controls specified</t>
  </si>
  <si>
    <t xml:space="preserve">Encryption requirements defined for data at rest and in transit </t>
  </si>
  <si>
    <t xml:space="preserve">  G.  HUMAN OVERSIGHT</t>
  </si>
  <si>
    <t xml:space="preserve">Human-in-the-loop (HITL) defined in the workflow </t>
  </si>
  <si>
    <t xml:space="preserve">Override and escalation mechanism designed, if required (how a human can reject or escalate an AI output) </t>
  </si>
  <si>
    <t>PART 3 - OUTCOME</t>
  </si>
  <si>
    <t>OVERALL DESIGN READINESS</t>
  </si>
  <si>
    <t>Gap / Unaddressed Item</t>
  </si>
  <si>
    <t>Status</t>
  </si>
  <si>
    <t>DATA READINESS &amp; COMPLIANCE CHECKLIST</t>
  </si>
  <si>
    <t>DOCUMENT REFERENCE</t>
  </si>
  <si>
    <t xml:space="preserve">  A.  DATA SOURCES REGISTER</t>
  </si>
  <si>
    <t>Data Source Name</t>
  </si>
  <si>
    <t>Classification Level
(Public (C0) / Internal (C1) / Confidential (C2)  / Classified (C3) / Top Secret (C4) )</t>
  </si>
  <si>
    <t>Contains PII?
(Yes / No)</t>
  </si>
  <si>
    <t>Ingestion Method</t>
  </si>
  <si>
    <t xml:space="preserve">  B.  DATA READINESS</t>
  </si>
  <si>
    <t>Requirement</t>
  </si>
  <si>
    <t xml:space="preserve">Notes </t>
  </si>
  <si>
    <t>Data quality assessed (completeness, accuracy, and freshness) are acceptable for the defined use case</t>
  </si>
  <si>
    <t>Data schema documented and shared with the development team</t>
  </si>
  <si>
    <t>Data volume is sufficient and representative for model training or retrieval (if applicable)</t>
  </si>
  <si>
    <t>A data refresh or reingestion schedule is confirmed (if applicable)</t>
  </si>
  <si>
    <t xml:space="preserve">  C.  SCEAI DATA SOVEREIGNTY COMPLIANCE</t>
  </si>
  <si>
    <t>Notes</t>
  </si>
  <si>
    <t>All data is stored and processed within Qatar</t>
  </si>
  <si>
    <t>Deployment environment confirmed in a Qatar-based data center or on-premise infrastructure</t>
  </si>
  <si>
    <t>No cross-border data transfer occurs without explicit documented approval from SCEAI</t>
  </si>
  <si>
    <t>Third-party or vendor services used in the pipeline are assessed for data residency compliance (i.e. Data residency confirmed to be within Qatar)</t>
  </si>
  <si>
    <t xml:space="preserve">  D.  NCSA DATA CLASSIFICATION &amp; ACCESS SECURITY</t>
  </si>
  <si>
    <t>All data sources are classified (C0-C4)</t>
  </si>
  <si>
    <t xml:space="preserve">Role-based access control (RBAC) is defined </t>
  </si>
  <si>
    <t>Access to Confidential or higher data is restricted to named individuals with documented justification</t>
  </si>
  <si>
    <t>All data access events are logged with user identity, timestamp, and action performed</t>
  </si>
  <si>
    <t xml:space="preserve">  E.  QATAR PDPL - PERSONAL DATA  (Complete if any source contains PII)</t>
  </si>
  <si>
    <t>Lawful basis for usage (explicit user consent) documented for each PII data source under Qatar PDPL</t>
  </si>
  <si>
    <t>PII fields identified and listed per source</t>
  </si>
  <si>
    <t xml:space="preserve">Data minimization and anonymisation applied </t>
  </si>
  <si>
    <t>Retention period defined for PII</t>
  </si>
  <si>
    <t>OUTCOME</t>
  </si>
  <si>
    <t>OVERALL DATA READINESS &amp; COMPLIANCE</t>
  </si>
  <si>
    <t>HUMAN OVERSIGHT PLAN</t>
  </si>
  <si>
    <t xml:space="preserve">  A.  HUMAN-IN-THE-LOOP (HITL) MECHANISM DESIGN</t>
  </si>
  <si>
    <t>HITL Mechanism
(describe how the human review gate works)</t>
  </si>
  <si>
    <t>Where in the Workflow
(pipeline step / UI screen)</t>
  </si>
  <si>
    <t>How does the human act on the output?</t>
  </si>
  <si>
    <t>Audit Log
Required?</t>
  </si>
  <si>
    <t>Describe the override mechanism - how a human rejects or modifies an AI output and what happens next:</t>
  </si>
  <si>
    <t xml:space="preserve">  B.  ESCALATION TRIGGERS</t>
  </si>
  <si>
    <t>Trigger Condition</t>
  </si>
  <si>
    <t>Required Action</t>
  </si>
  <si>
    <t>Unusual spike in human overrides of AI recommendations</t>
  </si>
  <si>
    <t>Model performance drops below accepted KPIs</t>
  </si>
  <si>
    <t>Regulatory or policy change affecting this system</t>
  </si>
  <si>
    <t>RESPONSIBLE AI DEVELOPMENT CHECKLIST</t>
  </si>
  <si>
    <t>Development Requirement</t>
  </si>
  <si>
    <t>Applies To
(ML / LLM Both)</t>
  </si>
  <si>
    <t>Notes
(commit reference, test report, tool, etc.)</t>
  </si>
  <si>
    <t xml:space="preserve">  A.  TRANSPARENCY</t>
  </si>
  <si>
    <t>Model Card produced</t>
  </si>
  <si>
    <t>Both</t>
  </si>
  <si>
    <t>Source attribution implemented in the API response layer (every output cites its sources)</t>
  </si>
  <si>
    <t>LLM</t>
  </si>
  <si>
    <t>Inference logging activated from the start of testing (query, output, model version, timestamp)</t>
  </si>
  <si>
    <t xml:space="preserve">  B.  FAIRNESS</t>
  </si>
  <si>
    <t>Bias audit run against the fairness metrics and thresholds defined at Gate 2 (using specialized tools)</t>
  </si>
  <si>
    <t>ML</t>
  </si>
  <si>
    <t>Courpus audit on data sources to esnure sources do not present a biased view</t>
  </si>
  <si>
    <t>Fairness thresholds confirmed met (using speciallized tools)</t>
  </si>
  <si>
    <t xml:space="preserve">  C.  ACCOUNTABILITY</t>
  </si>
  <si>
    <t>Every significant development decision tracked with the named accountable person (threshold settings, architecture changes)</t>
  </si>
  <si>
    <t xml:space="preserve">Model versioning enforced throughout development </t>
  </si>
  <si>
    <t>Experiment tracking active ( all runs logged with parameters, metrics, and outcomes)</t>
  </si>
  <si>
    <t>Accept / Reject / Override controls built into the UI per the Human Oversight Plan</t>
  </si>
  <si>
    <t>Override actions logged with reviewer identity, timestamp, and reasoning</t>
  </si>
  <si>
    <t xml:space="preserve">  D.  RELIABILITY - For Production Settings</t>
  </si>
  <si>
    <t>Smoke testing, if required (core pipeline confirmed functional after each significant build)</t>
  </si>
  <si>
    <t>Regression testing, if required (run after each model update to detect performance degradation)</t>
  </si>
  <si>
    <t>Load testing, if required (system tested under expected concurrent user volume)</t>
  </si>
  <si>
    <t>Edge case testing, if required (inputs the model is least likely to handle well are tested and results reviewed)</t>
  </si>
  <si>
    <t>Adversarial input testing, if required (unusual or malformed inputs tested for unexpected behaviour)</t>
  </si>
  <si>
    <t>All test results reviewed, if required (failures addressed or risk-accepted with documented justification)</t>
  </si>
  <si>
    <t xml:space="preserve">  E.  SECURITY</t>
  </si>
  <si>
    <t>Secure architecture implemented as designed (access controls and encryption in place)</t>
  </si>
  <si>
    <t>Encryption at rest and in transit verified for all components handling sensitive or classified data</t>
  </si>
  <si>
    <t>No credentials, API keys, or secrets present in code or config files</t>
  </si>
  <si>
    <t>Verified that no pipeline component routes content to external services outside Qatar region or MCIT-approved regions (Sweden Central, East Europe, West Europe)</t>
  </si>
  <si>
    <t xml:space="preserve">  F.  EXPLAINABILITY</t>
  </si>
  <si>
    <t>Explainability method integrated into the standard inference pipeline, explanations accompany every output automatically (if applicable)</t>
  </si>
  <si>
    <t>Specialized tools' outputs generated and validated for correctness and interpretability</t>
  </si>
  <si>
    <t xml:space="preserve">Citation return implemented and tested in the API response </t>
  </si>
  <si>
    <t xml:space="preserve">  G.  DATA PROTECTION</t>
  </si>
  <si>
    <t>PII detection and masking implemented in the ingestion pipeline and verified (if PII present)</t>
  </si>
  <si>
    <t>Data lineage record built for every ingested document (source, classification, ingestion timestamp, destination)</t>
  </si>
  <si>
    <t>Classification-level isolation implemented at the retrieval layer (data of different classification levels stored and retrieved separately)</t>
  </si>
  <si>
    <t>Verified that no sensitive content routes to any external service or infrastructure outside approved boundaries</t>
  </si>
  <si>
    <t>Encryption at rest and in transit confirmed for all data classified as Confidential or higher</t>
  </si>
  <si>
    <t xml:space="preserve">  H.  HUMAN OVERSIGHT &amp; MONITORING</t>
  </si>
  <si>
    <t xml:space="preserve">HITL gates built and functional  </t>
  </si>
  <si>
    <t xml:space="preserve">Accept / Reject / Override UI tested end-to-end </t>
  </si>
  <si>
    <t xml:space="preserve">Monitoring dashboards configured and producing data </t>
  </si>
  <si>
    <t>Monitoring confirmed live and producing data before pre-deployment testing begins</t>
  </si>
  <si>
    <t xml:space="preserve">  I.  COMPLIANCE</t>
  </si>
  <si>
    <t>All regulatory requirements mapped at Gate 2 are implemented</t>
  </si>
  <si>
    <t>No pipeline component routes sensitive content outside approved boundaries</t>
  </si>
  <si>
    <t>Pending Items</t>
  </si>
  <si>
    <t>MODEL CARD</t>
  </si>
  <si>
    <t xml:space="preserve">A.  MODEL DETAILS </t>
  </si>
  <si>
    <t>Model Name</t>
  </si>
  <si>
    <t>Model Version</t>
  </si>
  <si>
    <t>Model Type</t>
  </si>
  <si>
    <t>Developed / Configured By</t>
  </si>
  <si>
    <t xml:space="preserve">B.  INTENDED USE </t>
  </si>
  <si>
    <t>Primary intended use (what is this model designed to do?)</t>
  </si>
  <si>
    <t>Primary intended users</t>
  </si>
  <si>
    <t>Out-of-scope uses (what is this model NOT be used for?)</t>
  </si>
  <si>
    <t>Embedding model used (for RAG systems)</t>
  </si>
  <si>
    <t xml:space="preserve">C.  PERFORMANCE METRICS  </t>
  </si>
  <si>
    <t>C.1   ML Model (complete if applicable)</t>
  </si>
  <si>
    <t>Metric</t>
  </si>
  <si>
    <t>Current Value</t>
  </si>
  <si>
    <t>Threshold to be Considered Acceptable</t>
  </si>
  <si>
    <t>Accuracy</t>
  </si>
  <si>
    <t>Precision</t>
  </si>
  <si>
    <t>Recall</t>
  </si>
  <si>
    <t>F1 Score</t>
  </si>
  <si>
    <t>ROC-AUC</t>
  </si>
  <si>
    <t>Inference Latency</t>
  </si>
  <si>
    <t>C2.   LLM Model (complete if applicable)</t>
  </si>
  <si>
    <t>Value</t>
  </si>
  <si>
    <t>Hallucination Rate</t>
  </si>
  <si>
    <t>Latency (seconds)</t>
  </si>
  <si>
    <t>Intelligence Index ( /1)</t>
  </si>
  <si>
    <t>Throughput (characters/second)</t>
  </si>
  <si>
    <t>Conext Length (Number of Tokens)</t>
  </si>
  <si>
    <t>Agentic Index ( /100)</t>
  </si>
  <si>
    <t>Human Scoring ( /5)</t>
  </si>
  <si>
    <t xml:space="preserve">D.  FAIRNESS SUMMARY   </t>
  </si>
  <si>
    <t>Fariness Tool Used</t>
  </si>
  <si>
    <t>E.  EXPLAINABILITY</t>
  </si>
  <si>
    <t>Explainability method implemented? If so, specify</t>
  </si>
  <si>
    <t>Output validated by representative user? If so, specify name and date of approval</t>
  </si>
  <si>
    <t>G.  LIMITATIONS</t>
  </si>
  <si>
    <t>Known model limitations</t>
  </si>
  <si>
    <t>Caveats and recommendations for users (what should users know before acting on the AI outputs?)</t>
  </si>
  <si>
    <t>H.  VERSION HISTORY</t>
  </si>
  <si>
    <t>Version</t>
  </si>
  <si>
    <t>Date</t>
  </si>
  <si>
    <t>Updated By</t>
  </si>
  <si>
    <t>Gate / Update Trigger</t>
  </si>
  <si>
    <t>Summary of Changes</t>
  </si>
  <si>
    <t>DEPLOYMENT APPROVAL RECORD</t>
  </si>
  <si>
    <t xml:space="preserve">  A.  ARTIFACTS REVIEWED</t>
  </si>
  <si>
    <t>Artifact</t>
  </si>
  <si>
    <t>Submitted and Reviewed?</t>
  </si>
  <si>
    <t>Solution Design Review Checklist (Gate 2)</t>
  </si>
  <si>
    <t>Data Readiness &amp; Compliance Checklist (Gate 2)</t>
  </si>
  <si>
    <t>Human Oversight Plan (Gate 2)</t>
  </si>
  <si>
    <t>Responsible AI Development Checklist (Gate 3)</t>
  </si>
  <si>
    <t>Model Card</t>
  </si>
  <si>
    <t>Bias / Fairness Audit Report Generated from Specialized Tools</t>
  </si>
  <si>
    <t>Test Results (reliability test suite)</t>
  </si>
  <si>
    <t>Inference Logs (sample)</t>
  </si>
  <si>
    <t>Item</t>
  </si>
  <si>
    <t xml:space="preserve">Inference logging is active and producing records </t>
  </si>
  <si>
    <t>Model Card is complete and accurately reflects the deployed system</t>
  </si>
  <si>
    <t xml:space="preserve">  C.  FAIRNESS</t>
  </si>
  <si>
    <t>Any metric outside the acceptable range has been resolved before go-live, or formally risk-accepted with documented justification</t>
  </si>
  <si>
    <t xml:space="preserve">  D.  ACCOUNTABILITY</t>
  </si>
  <si>
    <t>Documented sign-off obtained from all named business and technical owners</t>
  </si>
  <si>
    <t>Confirmed in UAT that no system function can trigger an external-facing action without a recorded human approval</t>
  </si>
  <si>
    <t>All Gate 2 KPIs met and stable across repeated test runs, inconsistent results are not sufficient for approval</t>
  </si>
  <si>
    <t xml:space="preserve">Final load test completed at expected production volumes (where applicable) </t>
  </si>
  <si>
    <t>Fallback and rollback mechanism tested and confirmed functional</t>
  </si>
  <si>
    <t xml:space="preserve">Security review of all pipeline components completed </t>
  </si>
  <si>
    <t>No unresolved critical or high-severity vulnerabilities present</t>
  </si>
  <si>
    <t>Penetration test or adversarial test results reviewed (where applicable)</t>
  </si>
  <si>
    <t xml:space="preserve">  G.  HUMAN OVERSIGHT &amp; MONITORING</t>
  </si>
  <si>
    <t xml:space="preserve">All HITL gates tested in UAT with realistic decision scenarios </t>
  </si>
  <si>
    <t xml:space="preserve">Test alerts triggered for all monitoring alert types </t>
  </si>
  <si>
    <t>Monitoring dashboards live and producing data ahead of go-live</t>
  </si>
  <si>
    <t xml:space="preserve">  H.  EXPLAINABILITY</t>
  </si>
  <si>
    <t xml:space="preserve">At least one non-technical stakeholder has reviewed a sample of explanation outputs and confirmed they are understandable </t>
  </si>
  <si>
    <t>Explanation output confirmed present for every output type across all output classifications</t>
  </si>
  <si>
    <t xml:space="preserve">  I.  DATA PROTECTION</t>
  </si>
  <si>
    <t>Encryption configuration and access controls verified</t>
  </si>
  <si>
    <t>Synthetic queries run to confirm a lower-clearance user cannot receive outputs derived from higher-classification sources, if required (where the system handles multi-classification data)</t>
  </si>
  <si>
    <t>Data residency confirmed (all data remains within Qatar jurisdiction)</t>
  </si>
  <si>
    <t>DEPLOYMENT READINESS</t>
  </si>
  <si>
    <t>GO-LIVE RECORD</t>
  </si>
  <si>
    <t>PART 1 - GO-LIVE CHECKLIST</t>
  </si>
  <si>
    <t>Activation Requirement</t>
  </si>
  <si>
    <t>Evidence / Reference</t>
  </si>
  <si>
    <t xml:space="preserve">  Transparency</t>
  </si>
  <si>
    <t>Inference logging live in production (producing records from first user interaction)</t>
  </si>
  <si>
    <t xml:space="preserve">Model Card published </t>
  </si>
  <si>
    <t>User feedback channel active (mechanism for flagging incorrect or unexplainable outputs)</t>
  </si>
  <si>
    <t xml:space="preserve">  Fairness</t>
  </si>
  <si>
    <t>Fairness metrics configured in the production monitoring platform and producing baseline data</t>
  </si>
  <si>
    <t>Fairness monitoring schedule confirmed</t>
  </si>
  <si>
    <t xml:space="preserve">  Accountability</t>
  </si>
  <si>
    <t>Incident ownership register completed (every AI-related incident type has a named owner defined before go-live)</t>
  </si>
  <si>
    <t xml:space="preserve">Escalation paths confirmed active </t>
  </si>
  <si>
    <t xml:space="preserve">  Reliability</t>
  </si>
  <si>
    <t>Observability platform active (infrastructure and performance metrics producing data)</t>
  </si>
  <si>
    <t>Performance health check scheduled in the monthly review cycle</t>
  </si>
  <si>
    <t>Rollback procedure confirmed available and tested</t>
  </si>
  <si>
    <t xml:space="preserve">  Security</t>
  </si>
  <si>
    <t>All security monitoring activated at go-live</t>
  </si>
  <si>
    <t>Recurring vulnerability scan schedule set, in-line with SCEAI security review cycles</t>
  </si>
  <si>
    <t>Post-go-live security review scheduled</t>
  </si>
  <si>
    <t xml:space="preserve">  Human Oversight &amp; Monitoring</t>
  </si>
  <si>
    <t xml:space="preserve">HITL gates active in production </t>
  </si>
  <si>
    <t>Override log review scheduled monthly (to detect patterns of systematic model errors or user trust issues)</t>
  </si>
  <si>
    <t xml:space="preserve">  Explainability</t>
  </si>
  <si>
    <t>Explanation log active (rationale behind every AI-informed decision is recorded and retrievable)</t>
  </si>
  <si>
    <t xml:space="preserve">  Data Protection</t>
  </si>
  <si>
    <t>Data retention and disposal schedule applied and active</t>
  </si>
  <si>
    <t xml:space="preserve">  Compliance</t>
  </si>
  <si>
    <t>Process in place to monitor for regulatory changes (PDPL updates, NCSA directives, MCIT guidance, or  SCEAI regulation changes)</t>
  </si>
  <si>
    <t>PART 2 - ONGOING MONITORING &amp; OBLIGATIONS</t>
  </si>
  <si>
    <t xml:space="preserve">  A.  MONITORING SCHEDULE</t>
  </si>
  <si>
    <t>What is Monitored</t>
  </si>
  <si>
    <t>Frequency (TBC)</t>
  </si>
  <si>
    <t>Named Owner</t>
  </si>
  <si>
    <t>Tool / Platform</t>
  </si>
  <si>
    <t>Alert Threshold / Action</t>
  </si>
  <si>
    <t>Next Due Date</t>
  </si>
  <si>
    <t>Inference logs</t>
  </si>
  <si>
    <t>Weekly</t>
  </si>
  <si>
    <t>Any gap triggers immediate review</t>
  </si>
  <si>
    <t>Model performance KPIs</t>
  </si>
  <si>
    <t>Monthly</t>
  </si>
  <si>
    <t>Below Gate 2 KPI thresholds</t>
  </si>
  <si>
    <t>Fairness metrics against live output data</t>
  </si>
  <si>
    <t>Drift beyond Gate 2 thresholds</t>
  </si>
  <si>
    <t>User feedback review</t>
  </si>
  <si>
    <t>Patterns of unexplainable outputs trigger review</t>
  </si>
  <si>
    <t>Performance health check</t>
  </si>
  <si>
    <t>Degradation below KPIs triggers retraining review</t>
  </si>
  <si>
    <t>Security vulnerability scan</t>
  </si>
  <si>
    <t>Per SCEAI Security cycle</t>
  </si>
  <si>
    <t>Critical CVE triggers immediate remediation</t>
  </si>
  <si>
    <t>Model Card update</t>
  </si>
  <si>
    <t>Quarterly</t>
  </si>
  <si>
    <t>-</t>
  </si>
  <si>
    <t xml:space="preserve">  B.  INCIDENT OWNERSHIP REGISTER</t>
  </si>
  <si>
    <t>Incident Type</t>
  </si>
  <si>
    <t>Primary Owner
(Name / Role)</t>
  </si>
  <si>
    <t>Response Timeframe (TBC)</t>
  </si>
  <si>
    <t>Biased or discriminatory AI output detected in production</t>
  </si>
  <si>
    <t>48 hours</t>
  </si>
  <si>
    <t>Investigate, disable output if needed</t>
  </si>
  <si>
    <t>Data breach involving AI pipeline inputs or outputs</t>
  </si>
  <si>
    <t>Immediate</t>
  </si>
  <si>
    <t>Isolate, invoke incident response plan</t>
  </si>
  <si>
    <t>Unauthorised access to classified data in AI system</t>
  </si>
  <si>
    <t>Isolate, full security audit</t>
  </si>
  <si>
    <t>AI system reliability failure or KPI degradation</t>
  </si>
  <si>
    <t>4 hours</t>
  </si>
  <si>
    <t>Investigate, trigger rollback or retraining if needed</t>
  </si>
  <si>
    <t>Adversarial attack or unusual input pattern detected</t>
  </si>
  <si>
    <t>24 hours</t>
  </si>
  <si>
    <t>Investigate attack</t>
  </si>
  <si>
    <t>Regulatory change affecting this system</t>
  </si>
  <si>
    <t>Assess impact, re-enter governance cycle if needed</t>
  </si>
  <si>
    <t>Stakeholder complaint regarding AI output fairness</t>
  </si>
  <si>
    <t>7 days</t>
  </si>
  <si>
    <t>Review output</t>
  </si>
  <si>
    <t xml:space="preserve">  C.  GOVERNANCE RE-ENTRY TRIGGERS</t>
  </si>
  <si>
    <t>Trigger Event</t>
  </si>
  <si>
    <t>Gate to Re-Enter</t>
  </si>
  <si>
    <t>Timeframe to Initiate (TBC)</t>
  </si>
  <si>
    <t>Significant data change (new source, schema change, or data quality issue)</t>
  </si>
  <si>
    <t>Gate 2 / Gate 3</t>
  </si>
  <si>
    <t>Immediately</t>
  </si>
  <si>
    <t>Model retraining or significant update to model weights or prompts</t>
  </si>
  <si>
    <t>Gate 3 / Gate 4</t>
  </si>
  <si>
    <t>Before redeployment</t>
  </si>
  <si>
    <t>Adversarial incident confirmed</t>
  </si>
  <si>
    <t>Gate 4</t>
  </si>
  <si>
    <t>Within 24 hours</t>
  </si>
  <si>
    <t>Gate 2</t>
  </si>
  <si>
    <t>Within 48 hours</t>
  </si>
  <si>
    <t>Sustained KPI degradation below accepted thresholds</t>
  </si>
  <si>
    <t>Within 1 week</t>
  </si>
  <si>
    <t>Significant change to system scope, integrations, or user base</t>
  </si>
  <si>
    <t>Before change is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</si>
</sst>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2B1A1A"/>
      <name val="Calibri"/>
    </font>
    <font>
      <sz val="10"/>
      <color rgb="FF2B1A1A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b/>
      <sz val="11"/>
      <color rgb="FF2B1A1A"/>
      <name val="Calibri"/>
    </font>
    <font>
      <sz val="10"/>
      <color theme="1"/>
      <name val="Calibri"/>
      <family val="2"/>
      <scheme val="minor"/>
    </font>
    <font>
      <b/>
      <sz val="15"/>
      <color rgb="FFFFFFFF"/>
      <name val="Calibri"/>
    </font>
    <font>
      <b/>
      <sz val="9"/>
      <color rgb="FF2B1A1A"/>
      <name val="Calibri"/>
    </font>
    <font>
      <b/>
      <sz val="9"/>
      <color rgb="FF375623"/>
      <name val="Calibri"/>
    </font>
    <font>
      <b/>
      <sz val="9"/>
      <color rgb="FF1F4E7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8A1538"/>
      </patternFill>
    </fill>
    <fill>
      <patternFill patternType="solid">
        <fgColor rgb="FFA29475"/>
      </patternFill>
    </fill>
    <fill>
      <patternFill patternType="solid">
        <fgColor rgb="FFEDE9E4"/>
      </patternFill>
    </fill>
    <fill>
      <patternFill patternType="solid">
        <fgColor rgb="FFFDFAF7"/>
      </patternFill>
    </fill>
    <fill>
      <patternFill patternType="solid">
        <fgColor rgb="FF5C3D44"/>
      </patternFill>
    </fill>
    <fill>
      <patternFill patternType="solid">
        <fgColor rgb="FF6B5040"/>
      </patternFill>
    </fill>
    <fill>
      <patternFill patternType="solid">
        <fgColor rgb="FFE2EFDA"/>
      </patternFill>
    </fill>
    <fill>
      <patternFill patternType="solid">
        <fgColor rgb="FFEAF2E3"/>
      </patternFill>
    </fill>
    <fill>
      <patternFill patternType="solid">
        <fgColor rgb="FFDEEAF1"/>
      </patternFill>
    </fill>
  </fills>
  <borders count="12">
    <border>
      <left/>
      <right/>
      <top/>
      <bottom/>
      <diagonal/>
    </border>
    <border>
      <left style="thin">
        <color rgb="FFC8B8BC"/>
      </left>
      <right style="thin">
        <color rgb="FFC8B8BC"/>
      </right>
      <top style="thin">
        <color rgb="FFC8B8BC"/>
      </top>
      <bottom style="thin">
        <color rgb="FFC8B8BC"/>
      </bottom>
      <diagonal/>
    </border>
    <border>
      <left/>
      <right/>
      <top style="thin">
        <color rgb="FFC8B8BC"/>
      </top>
      <bottom style="thin">
        <color rgb="FFC8B8BC"/>
      </bottom>
      <diagonal/>
    </border>
    <border>
      <left/>
      <right style="thin">
        <color rgb="FFC8B8BC"/>
      </right>
      <top style="thin">
        <color rgb="FFC8B8BC"/>
      </top>
      <bottom style="thin">
        <color rgb="FFC8B8BC"/>
      </bottom>
      <diagonal/>
    </border>
    <border>
      <left style="thin">
        <color rgb="FFC8B8BC"/>
      </left>
      <right/>
      <top style="thin">
        <color rgb="FFC8B8BC"/>
      </top>
      <bottom style="thin">
        <color rgb="FFC8B8BC"/>
      </bottom>
      <diagonal/>
    </border>
    <border>
      <left/>
      <right style="thin">
        <color rgb="FFC8B8BC"/>
      </right>
      <top style="thin">
        <color rgb="FFC8B8BC"/>
      </top>
      <bottom/>
      <diagonal/>
    </border>
    <border>
      <left style="thin">
        <color rgb="FFC8B8BC"/>
      </left>
      <right/>
      <top style="thin">
        <color rgb="FFC8B8BC"/>
      </top>
      <bottom/>
      <diagonal/>
    </border>
    <border>
      <left/>
      <right/>
      <top style="thin">
        <color rgb="FFC8B8BC"/>
      </top>
      <bottom/>
      <diagonal/>
    </border>
    <border>
      <left style="thin">
        <color rgb="FFC8B8BC"/>
      </left>
      <right style="thin">
        <color rgb="FFC8B8BC"/>
      </right>
      <top style="thin">
        <color rgb="FFC8B8BC"/>
      </top>
      <bottom/>
      <diagonal/>
    </border>
    <border>
      <left/>
      <right/>
      <top/>
      <bottom style="thin">
        <color rgb="FFC8B8BC"/>
      </bottom>
      <diagonal/>
    </border>
    <border>
      <left/>
      <right style="thin">
        <color rgb="FFC8B8BC"/>
      </right>
      <top/>
      <bottom/>
      <diagonal/>
    </border>
    <border>
      <left/>
      <right style="thin">
        <color rgb="FFC8B8BC"/>
      </right>
      <top/>
      <bottom style="thin">
        <color rgb="FFC8B8BC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8" fillId="0" borderId="0" xfId="0" applyFont="1"/>
    <xf numFmtId="0" fontId="8" fillId="0" borderId="0" xfId="0" applyFont="1" applyBorder="1"/>
    <xf numFmtId="0" fontId="5" fillId="2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0" fillId="0" borderId="3" xfId="0" applyBorder="1" applyAlignment="1"/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3" xfId="0" applyBorder="1" applyAlignment="1"/>
    <xf numFmtId="0" fontId="4" fillId="5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0" fontId="0" fillId="0" borderId="5" xfId="0" applyBorder="1" applyAlignment="1"/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0" fillId="0" borderId="9" xfId="0" applyBorder="1" applyAlignment="1"/>
    <xf numFmtId="0" fontId="0" fillId="0" borderId="11" xfId="0" applyBorder="1" applyAlignment="1"/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8B8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8"/>
  <sheetViews>
    <sheetView workbookViewId="0">
      <pane ySplit="3" topLeftCell="A56" activePane="bottomLeft" state="frozen"/>
      <selection pane="bottomLeft" activeCell="A62" sqref="A62"/>
    </sheetView>
  </sheetViews>
  <sheetFormatPr defaultRowHeight="15"/>
  <cols>
    <col min="1" max="1" width="44" customWidth="1"/>
    <col min="2" max="3" width="14" customWidth="1"/>
    <col min="4" max="4" width="24" customWidth="1"/>
    <col min="5" max="6" width="22" customWidth="1"/>
  </cols>
  <sheetData>
    <row r="1" spans="1:6" ht="38.1" customHeight="1">
      <c r="A1" s="23" t="s">
        <v>0</v>
      </c>
      <c r="B1" s="22"/>
      <c r="C1" s="22"/>
      <c r="D1" s="22"/>
      <c r="E1" s="22"/>
      <c r="F1" s="20"/>
    </row>
    <row r="2" spans="1:6" ht="21.95" customHeight="1">
      <c r="A2" s="24" t="s">
        <v>1</v>
      </c>
      <c r="B2" s="22"/>
      <c r="C2" s="22"/>
      <c r="D2" s="22"/>
      <c r="E2" s="22"/>
      <c r="F2" s="20"/>
    </row>
    <row r="3" spans="1:6" ht="18" customHeight="1">
      <c r="A3" s="19" t="s">
        <v>2</v>
      </c>
      <c r="B3" s="22"/>
      <c r="C3" s="20"/>
      <c r="D3" s="21"/>
      <c r="E3" s="22"/>
      <c r="F3" s="20"/>
    </row>
    <row r="4" spans="1:6" ht="18" customHeight="1">
      <c r="A4" s="19" t="s">
        <v>3</v>
      </c>
      <c r="B4" s="22"/>
      <c r="C4" s="20"/>
      <c r="D4" s="21"/>
      <c r="E4" s="22"/>
      <c r="F4" s="20"/>
    </row>
    <row r="6" spans="1:6" ht="27.95" customHeight="1">
      <c r="A6" s="33" t="s">
        <v>4</v>
      </c>
      <c r="B6" s="22"/>
      <c r="C6" s="22"/>
      <c r="D6" s="22"/>
      <c r="E6" s="22"/>
      <c r="F6" s="20"/>
    </row>
    <row r="7" spans="1:6" ht="26.25" customHeight="1">
      <c r="A7" s="25" t="s">
        <v>5</v>
      </c>
      <c r="B7" s="22"/>
      <c r="C7" s="20"/>
      <c r="D7" s="13" t="s">
        <v>6</v>
      </c>
      <c r="E7" s="13" t="s">
        <v>7</v>
      </c>
      <c r="F7" s="13" t="s">
        <v>8</v>
      </c>
    </row>
    <row r="8" spans="1:6" ht="21.95" customHeight="1">
      <c r="A8" s="24" t="s">
        <v>9</v>
      </c>
      <c r="B8" s="22"/>
      <c r="C8" s="22"/>
      <c r="D8" s="22"/>
      <c r="E8" s="22"/>
      <c r="F8" s="20"/>
    </row>
    <row r="9" spans="1:6" ht="30" customHeight="1">
      <c r="A9" s="26" t="s">
        <v>10</v>
      </c>
      <c r="B9" s="22"/>
      <c r="C9" s="20"/>
      <c r="D9" s="15"/>
      <c r="E9" s="15"/>
      <c r="F9" s="15"/>
    </row>
    <row r="10" spans="1:6" ht="30" customHeight="1">
      <c r="A10" s="26" t="s">
        <v>11</v>
      </c>
      <c r="B10" s="22"/>
      <c r="C10" s="20"/>
      <c r="D10" s="15"/>
      <c r="E10" s="15"/>
      <c r="F10" s="15"/>
    </row>
    <row r="11" spans="1:6" ht="21.95" customHeight="1">
      <c r="A11" s="24" t="s">
        <v>12</v>
      </c>
      <c r="B11" s="22"/>
      <c r="C11" s="22"/>
      <c r="D11" s="22"/>
      <c r="E11" s="22"/>
      <c r="F11" s="20"/>
    </row>
    <row r="12" spans="1:6" ht="30" customHeight="1">
      <c r="A12" s="26" t="s">
        <v>13</v>
      </c>
      <c r="B12" s="22"/>
      <c r="C12" s="20"/>
      <c r="D12" s="15"/>
      <c r="E12" s="15"/>
      <c r="F12" s="15"/>
    </row>
    <row r="13" spans="1:6" ht="30" customHeight="1">
      <c r="A13" s="34" t="s">
        <v>14</v>
      </c>
      <c r="B13" s="35"/>
      <c r="C13" s="36"/>
      <c r="D13" s="15"/>
      <c r="E13" s="15"/>
      <c r="F13" s="15"/>
    </row>
    <row r="14" spans="1:6" ht="30" customHeight="1">
      <c r="A14" s="26" t="s">
        <v>15</v>
      </c>
      <c r="B14" s="22"/>
      <c r="C14" s="20"/>
      <c r="D14" s="15"/>
      <c r="E14" s="15"/>
      <c r="F14" s="15"/>
    </row>
    <row r="15" spans="1:6" ht="30" customHeight="1">
      <c r="A15" s="26" t="s">
        <v>16</v>
      </c>
      <c r="B15" s="22"/>
      <c r="C15" s="20"/>
      <c r="D15" s="15"/>
      <c r="E15" s="15"/>
      <c r="F15" s="15"/>
    </row>
    <row r="16" spans="1:6" ht="30" customHeight="1">
      <c r="A16" s="26" t="s">
        <v>17</v>
      </c>
      <c r="B16" s="22"/>
      <c r="C16" s="20"/>
      <c r="D16" s="15"/>
      <c r="E16" s="15"/>
      <c r="F16" s="15"/>
    </row>
    <row r="17" spans="1:6" ht="30" customHeight="1">
      <c r="A17" s="26" t="s">
        <v>18</v>
      </c>
      <c r="B17" s="22"/>
      <c r="C17" s="20"/>
      <c r="D17" s="15"/>
      <c r="E17" s="15"/>
      <c r="F17" s="15"/>
    </row>
    <row r="18" spans="1:6" ht="21.95" customHeight="1">
      <c r="A18" s="24" t="s">
        <v>19</v>
      </c>
      <c r="B18" s="22"/>
      <c r="C18" s="22"/>
      <c r="D18" s="22"/>
      <c r="E18" s="22"/>
      <c r="F18" s="20"/>
    </row>
    <row r="19" spans="1:6" ht="30" customHeight="1">
      <c r="A19" s="26" t="s">
        <v>20</v>
      </c>
      <c r="B19" s="22"/>
      <c r="C19" s="20"/>
      <c r="D19" s="15"/>
      <c r="E19" s="15"/>
      <c r="F19" s="15"/>
    </row>
    <row r="20" spans="1:6" ht="30" customHeight="1">
      <c r="A20" s="26" t="s">
        <v>21</v>
      </c>
      <c r="B20" s="22"/>
      <c r="C20" s="20"/>
      <c r="D20" s="15"/>
      <c r="E20" s="15"/>
      <c r="F20" s="15"/>
    </row>
    <row r="21" spans="1:6" ht="30" customHeight="1">
      <c r="A21" s="26" t="s">
        <v>22</v>
      </c>
      <c r="B21" s="22"/>
      <c r="C21" s="20"/>
      <c r="D21" s="15"/>
      <c r="E21" s="15"/>
      <c r="F21" s="15"/>
    </row>
    <row r="22" spans="1:6" ht="21.95" customHeight="1">
      <c r="A22" s="24" t="s">
        <v>23</v>
      </c>
      <c r="B22" s="22"/>
      <c r="C22" s="22"/>
      <c r="D22" s="22"/>
      <c r="E22" s="22"/>
      <c r="F22" s="20"/>
    </row>
    <row r="23" spans="1:6" ht="30" customHeight="1">
      <c r="A23" s="26" t="s">
        <v>24</v>
      </c>
      <c r="B23" s="22"/>
      <c r="C23" s="20"/>
      <c r="D23" s="15"/>
      <c r="E23" s="15"/>
      <c r="F23" s="15"/>
    </row>
    <row r="24" spans="1:6" ht="30" customHeight="1">
      <c r="A24" s="26" t="s">
        <v>25</v>
      </c>
      <c r="B24" s="22"/>
      <c r="C24" s="20"/>
      <c r="D24" s="15"/>
      <c r="E24" s="15"/>
      <c r="F24" s="15"/>
    </row>
    <row r="25" spans="1:6" ht="21.95" customHeight="1">
      <c r="A25" s="24" t="s">
        <v>26</v>
      </c>
      <c r="B25" s="22"/>
      <c r="C25" s="22"/>
      <c r="D25" s="22"/>
      <c r="E25" s="22"/>
      <c r="F25" s="20"/>
    </row>
    <row r="26" spans="1:6" ht="30" customHeight="1">
      <c r="A26" s="26" t="s">
        <v>27</v>
      </c>
      <c r="B26" s="22"/>
      <c r="C26" s="20"/>
      <c r="D26" s="15"/>
      <c r="E26" s="15"/>
      <c r="F26" s="15"/>
    </row>
    <row r="27" spans="1:6" ht="30" customHeight="1">
      <c r="A27" s="26" t="s">
        <v>28</v>
      </c>
      <c r="B27" s="22"/>
      <c r="C27" s="20"/>
      <c r="D27" s="15"/>
      <c r="E27" s="15"/>
      <c r="F27" s="15"/>
    </row>
    <row r="28" spans="1:6" ht="30" customHeight="1">
      <c r="A28" s="26" t="s">
        <v>29</v>
      </c>
      <c r="B28" s="22"/>
      <c r="C28" s="20"/>
      <c r="D28" s="15"/>
      <c r="E28" s="15"/>
      <c r="F28" s="15"/>
    </row>
    <row r="29" spans="1:6" ht="30" customHeight="1">
      <c r="A29" s="26" t="s">
        <v>30</v>
      </c>
      <c r="B29" s="22"/>
      <c r="C29" s="20"/>
      <c r="D29" s="15"/>
      <c r="E29" s="15"/>
      <c r="F29" s="15"/>
    </row>
    <row r="31" spans="1:6" ht="27.95" customHeight="1">
      <c r="A31" s="27" t="s">
        <v>31</v>
      </c>
      <c r="B31" s="22"/>
      <c r="C31" s="22"/>
      <c r="D31" s="22"/>
      <c r="E31" s="22"/>
      <c r="F31" s="20"/>
    </row>
    <row r="32" spans="1:6" ht="27.75" customHeight="1">
      <c r="A32" s="25" t="s">
        <v>32</v>
      </c>
      <c r="B32" s="22"/>
      <c r="C32" s="20"/>
      <c r="D32" s="31" t="s">
        <v>6</v>
      </c>
      <c r="E32" s="32"/>
      <c r="F32" s="13" t="s">
        <v>8</v>
      </c>
    </row>
    <row r="33" spans="1:6" ht="21.95" customHeight="1">
      <c r="A33" s="24" t="s">
        <v>33</v>
      </c>
      <c r="B33" s="22"/>
      <c r="C33" s="22"/>
      <c r="D33" s="22"/>
      <c r="E33" s="22"/>
      <c r="F33" s="20"/>
    </row>
    <row r="34" spans="1:6" ht="30" customHeight="1">
      <c r="A34" s="26" t="s">
        <v>34</v>
      </c>
      <c r="B34" s="22"/>
      <c r="C34" s="20"/>
      <c r="D34" s="29"/>
      <c r="E34" s="30"/>
      <c r="F34" s="15"/>
    </row>
    <row r="35" spans="1:6" ht="21.95" customHeight="1">
      <c r="A35" s="24" t="s">
        <v>35</v>
      </c>
      <c r="B35" s="22"/>
      <c r="C35" s="22"/>
      <c r="D35" s="22"/>
      <c r="E35" s="22"/>
      <c r="F35" s="20"/>
    </row>
    <row r="36" spans="1:6" ht="30" customHeight="1">
      <c r="A36" s="26" t="s">
        <v>36</v>
      </c>
      <c r="B36" s="22"/>
      <c r="C36" s="20"/>
      <c r="D36" s="29"/>
      <c r="E36" s="30"/>
      <c r="F36" s="15"/>
    </row>
    <row r="37" spans="1:6" ht="30" customHeight="1">
      <c r="A37" s="26" t="s">
        <v>37</v>
      </c>
      <c r="B37" s="22"/>
      <c r="C37" s="20"/>
      <c r="D37" s="29"/>
      <c r="E37" s="30"/>
      <c r="F37" s="15"/>
    </row>
    <row r="38" spans="1:6" ht="30" customHeight="1">
      <c r="A38" s="26" t="s">
        <v>38</v>
      </c>
      <c r="B38" s="22"/>
      <c r="C38" s="20"/>
      <c r="D38" s="29"/>
      <c r="E38" s="30"/>
      <c r="F38" s="15"/>
    </row>
    <row r="39" spans="1:6" ht="30" customHeight="1">
      <c r="A39" s="26" t="s">
        <v>39</v>
      </c>
      <c r="B39" s="22"/>
      <c r="C39" s="20"/>
      <c r="D39" s="29"/>
      <c r="E39" s="30"/>
      <c r="F39" s="15"/>
    </row>
    <row r="40" spans="1:6" ht="21.95" customHeight="1">
      <c r="A40" s="24" t="s">
        <v>40</v>
      </c>
      <c r="B40" s="22"/>
      <c r="C40" s="22"/>
      <c r="D40" s="22"/>
      <c r="E40" s="22"/>
      <c r="F40" s="20"/>
    </row>
    <row r="41" spans="1:6" ht="30" customHeight="1">
      <c r="A41" s="26" t="s">
        <v>41</v>
      </c>
      <c r="B41" s="22"/>
      <c r="C41" s="20"/>
      <c r="D41" s="29"/>
      <c r="E41" s="30"/>
      <c r="F41" s="15"/>
    </row>
    <row r="42" spans="1:6" ht="30" customHeight="1">
      <c r="A42" s="26" t="s">
        <v>42</v>
      </c>
      <c r="B42" s="22"/>
      <c r="C42" s="20"/>
      <c r="D42" s="29"/>
      <c r="E42" s="30"/>
      <c r="F42" s="15"/>
    </row>
    <row r="43" spans="1:6" ht="30" customHeight="1">
      <c r="A43" s="26" t="s">
        <v>43</v>
      </c>
      <c r="B43" s="22"/>
      <c r="C43" s="20"/>
      <c r="D43" s="29"/>
      <c r="E43" s="30"/>
      <c r="F43" s="15"/>
    </row>
    <row r="44" spans="1:6" ht="21.95" customHeight="1">
      <c r="A44" s="24" t="s">
        <v>44</v>
      </c>
      <c r="B44" s="22"/>
      <c r="C44" s="22"/>
      <c r="D44" s="22"/>
      <c r="E44" s="22"/>
      <c r="F44" s="20"/>
    </row>
    <row r="45" spans="1:6" ht="30" customHeight="1">
      <c r="A45" s="26" t="s">
        <v>45</v>
      </c>
      <c r="B45" s="22"/>
      <c r="C45" s="20"/>
      <c r="D45" s="29"/>
      <c r="E45" s="30"/>
      <c r="F45" s="15"/>
    </row>
    <row r="46" spans="1:6" ht="30" customHeight="1">
      <c r="A46" s="26" t="s">
        <v>46</v>
      </c>
      <c r="B46" s="22"/>
      <c r="C46" s="20"/>
      <c r="D46" s="29"/>
      <c r="E46" s="30"/>
      <c r="F46" s="15"/>
    </row>
    <row r="47" spans="1:6" ht="21.95" customHeight="1">
      <c r="A47" s="24" t="s">
        <v>47</v>
      </c>
      <c r="B47" s="22"/>
      <c r="C47" s="22"/>
      <c r="D47" s="22"/>
      <c r="E47" s="22"/>
      <c r="F47" s="20"/>
    </row>
    <row r="48" spans="1:6" ht="30" customHeight="1">
      <c r="A48" s="26" t="s">
        <v>48</v>
      </c>
      <c r="B48" s="22"/>
      <c r="C48" s="20"/>
      <c r="D48" s="29"/>
      <c r="E48" s="30"/>
      <c r="F48" s="15"/>
    </row>
    <row r="49" spans="1:6" ht="30" customHeight="1">
      <c r="A49" s="26" t="s">
        <v>49</v>
      </c>
      <c r="B49" s="22"/>
      <c r="C49" s="20"/>
      <c r="D49" s="29"/>
      <c r="E49" s="30"/>
      <c r="F49" s="15"/>
    </row>
    <row r="50" spans="1:6" ht="30" customHeight="1">
      <c r="A50" s="26" t="s">
        <v>50</v>
      </c>
      <c r="B50" s="22"/>
      <c r="C50" s="20"/>
      <c r="D50" s="29"/>
      <c r="E50" s="30"/>
      <c r="F50" s="15"/>
    </row>
    <row r="51" spans="1:6" ht="21.95" customHeight="1">
      <c r="A51" s="24" t="s">
        <v>51</v>
      </c>
      <c r="B51" s="22"/>
      <c r="C51" s="22"/>
      <c r="D51" s="22"/>
      <c r="E51" s="22"/>
      <c r="F51" s="20"/>
    </row>
    <row r="52" spans="1:6" ht="30" customHeight="1">
      <c r="A52" s="26" t="s">
        <v>52</v>
      </c>
      <c r="B52" s="22"/>
      <c r="C52" s="20"/>
      <c r="D52" s="29"/>
      <c r="E52" s="30"/>
      <c r="F52" s="15"/>
    </row>
    <row r="53" spans="1:6" ht="30" customHeight="1">
      <c r="A53" s="26" t="s">
        <v>53</v>
      </c>
      <c r="B53" s="22"/>
      <c r="C53" s="20"/>
      <c r="D53" s="29"/>
      <c r="E53" s="30"/>
      <c r="F53" s="15"/>
    </row>
    <row r="54" spans="1:6" ht="21.95" customHeight="1">
      <c r="A54" s="24" t="s">
        <v>54</v>
      </c>
      <c r="B54" s="22"/>
      <c r="C54" s="22"/>
      <c r="D54" s="22"/>
      <c r="E54" s="22"/>
      <c r="F54" s="20"/>
    </row>
    <row r="55" spans="1:6" ht="30" customHeight="1">
      <c r="A55" s="26" t="s">
        <v>55</v>
      </c>
      <c r="B55" s="22"/>
      <c r="C55" s="20"/>
      <c r="D55" s="29"/>
      <c r="E55" s="30"/>
      <c r="F55" s="15"/>
    </row>
    <row r="56" spans="1:6" ht="30" customHeight="1">
      <c r="A56" s="26" t="s">
        <v>56</v>
      </c>
      <c r="B56" s="22"/>
      <c r="C56" s="20"/>
      <c r="D56" s="29"/>
      <c r="E56" s="30"/>
      <c r="F56" s="15"/>
    </row>
    <row r="58" spans="1:6" ht="27.95" customHeight="1">
      <c r="A58" s="28" t="s">
        <v>57</v>
      </c>
      <c r="B58" s="22"/>
      <c r="C58" s="22"/>
      <c r="D58" s="22"/>
      <c r="E58" s="22"/>
      <c r="F58" s="20"/>
    </row>
    <row r="59" spans="1:6" ht="27.95" customHeight="1">
      <c r="A59" s="24" t="s">
        <v>58</v>
      </c>
      <c r="B59" s="22"/>
      <c r="C59" s="22"/>
      <c r="D59" s="22"/>
      <c r="E59" s="22"/>
      <c r="F59" s="20"/>
    </row>
    <row r="60" spans="1:6" ht="27.95" customHeight="1">
      <c r="A60" s="38" t="str">
        <f>IF(COUNTIF(D2:D56,"No")&gt;0,
"Not Ready",
IF(COUNTIF(D2:D56,"Partially")&gt;0,
"Partially Ready",
"Ready"))</f>
        <v>Ready</v>
      </c>
      <c r="B60" s="22"/>
      <c r="C60" s="22"/>
      <c r="D60" s="22"/>
      <c r="E60" s="22"/>
      <c r="F60" s="39"/>
    </row>
    <row r="61" spans="1:6" ht="21.95" customHeight="1">
      <c r="A61" s="31" t="s">
        <v>59</v>
      </c>
      <c r="B61" s="37"/>
      <c r="C61" s="37"/>
      <c r="D61" s="37"/>
      <c r="E61" s="37"/>
      <c r="F61" s="3" t="s">
        <v>60</v>
      </c>
    </row>
    <row r="62" spans="1:6" ht="26.1" customHeight="1">
      <c r="A62" s="1" t="str" cm="1">
        <f t="array" ref="A62">_xlfn._xlws.FILTER(A2:A98,(D2:D98="No")+(D2:D98="Partially"),"No gaps")</f>
        <v>No gaps</v>
      </c>
      <c r="F62" s="2" t="str" cm="1">
        <f t="array" ref="F62">_xlfn._xlws.FILTER(D2:D98,(D2:D98="No")+(D2:D98="Partially"),"")</f>
        <v/>
      </c>
    </row>
    <row r="63" spans="1:6" ht="21.75" customHeight="1">
      <c r="A63" s="1"/>
      <c r="F63" s="1"/>
    </row>
    <row r="65" ht="21.95" customHeight="1"/>
    <row r="66" ht="26.1" customHeight="1"/>
    <row r="67" ht="26.1" customHeight="1"/>
    <row r="68" ht="26.1" customHeight="1"/>
  </sheetData>
  <mergeCells count="78">
    <mergeCell ref="D56:E56"/>
    <mergeCell ref="A61:E61"/>
    <mergeCell ref="A59:F59"/>
    <mergeCell ref="A54:F54"/>
    <mergeCell ref="A56:C56"/>
    <mergeCell ref="A55:C55"/>
    <mergeCell ref="A60:F60"/>
    <mergeCell ref="A15:C15"/>
    <mergeCell ref="A11:F11"/>
    <mergeCell ref="D52:E52"/>
    <mergeCell ref="D53:E53"/>
    <mergeCell ref="D55:E55"/>
    <mergeCell ref="A52:C52"/>
    <mergeCell ref="A53:C53"/>
    <mergeCell ref="A41:C41"/>
    <mergeCell ref="A40:F40"/>
    <mergeCell ref="D3:F3"/>
    <mergeCell ref="A32:C32"/>
    <mergeCell ref="D32:E32"/>
    <mergeCell ref="D34:E34"/>
    <mergeCell ref="D36:E36"/>
    <mergeCell ref="A10:C10"/>
    <mergeCell ref="D4:F4"/>
    <mergeCell ref="A17:C17"/>
    <mergeCell ref="A6:F6"/>
    <mergeCell ref="A8:F8"/>
    <mergeCell ref="A4:C4"/>
    <mergeCell ref="A14:C14"/>
    <mergeCell ref="A7:C7"/>
    <mergeCell ref="A13:C13"/>
    <mergeCell ref="A25:F25"/>
    <mergeCell ref="A33:F33"/>
    <mergeCell ref="A21:C21"/>
    <mergeCell ref="D38:E38"/>
    <mergeCell ref="D39:E39"/>
    <mergeCell ref="D37:E37"/>
    <mergeCell ref="A28:C28"/>
    <mergeCell ref="A38:C38"/>
    <mergeCell ref="A39:C39"/>
    <mergeCell ref="A29:C29"/>
    <mergeCell ref="A24:C24"/>
    <mergeCell ref="A35:F35"/>
    <mergeCell ref="A26:C26"/>
    <mergeCell ref="A34:C34"/>
    <mergeCell ref="A27:C27"/>
    <mergeCell ref="A36:C36"/>
    <mergeCell ref="A58:F58"/>
    <mergeCell ref="A37:C37"/>
    <mergeCell ref="A47:F47"/>
    <mergeCell ref="A45:C45"/>
    <mergeCell ref="D43:E43"/>
    <mergeCell ref="D45:E45"/>
    <mergeCell ref="D46:E46"/>
    <mergeCell ref="D41:E41"/>
    <mergeCell ref="D42:E42"/>
    <mergeCell ref="A51:F51"/>
    <mergeCell ref="A48:C48"/>
    <mergeCell ref="A50:C50"/>
    <mergeCell ref="A49:C49"/>
    <mergeCell ref="D48:E48"/>
    <mergeCell ref="D49:E49"/>
    <mergeCell ref="D50:E50"/>
    <mergeCell ref="A1:F1"/>
    <mergeCell ref="A18:F18"/>
    <mergeCell ref="A44:F44"/>
    <mergeCell ref="A16:C16"/>
    <mergeCell ref="A46:C46"/>
    <mergeCell ref="A43:C43"/>
    <mergeCell ref="A23:C23"/>
    <mergeCell ref="A22:F22"/>
    <mergeCell ref="A9:C9"/>
    <mergeCell ref="A3:C3"/>
    <mergeCell ref="A42:C42"/>
    <mergeCell ref="A31:F31"/>
    <mergeCell ref="A12:C12"/>
    <mergeCell ref="A19:C19"/>
    <mergeCell ref="A2:F2"/>
    <mergeCell ref="A20:C20"/>
  </mergeCells>
  <conditionalFormatting sqref="A60:F60">
    <cfRule type="expression" dxfId="8" priority="3">
      <formula>A60:F60="Not Ready"</formula>
    </cfRule>
  </conditionalFormatting>
  <conditionalFormatting sqref="A60:F60">
    <cfRule type="expression" dxfId="7" priority="2">
      <formula>A60:F60="Partially Ready"</formula>
    </cfRule>
  </conditionalFormatting>
  <conditionalFormatting sqref="A60:F60">
    <cfRule type="expression" dxfId="6" priority="1">
      <formula>A60:F60="Ready"</formula>
    </cfRule>
  </conditionalFormatting>
  <dataValidations count="2">
    <dataValidation type="list" allowBlank="1" showInputMessage="1" showErrorMessage="1" sqref="D4:F4" xr:uid="{96F95193-E6D8-4FD1-8B4E-32ADD8BDFD01}">
      <formula1>"PoC,Production"</formula1>
    </dataValidation>
    <dataValidation type="list" allowBlank="1" showInputMessage="1" showErrorMessage="1" sqref="D9:D10 D12:D17 D19:D21 D23:D24 D26:D29 D34 D36:D39 D41:D43 D45:D46 D48:D50 D52:D53 D55:D56" xr:uid="{7029C7C0-8738-4859-9D63-63E3D18A569D}">
      <formula1>"Yes,Partially,No,Not Applicable"</formula1>
    </dataValidation>
  </dataValidations>
  <pageMargins left="0.5" right="0.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7DDE-06D6-4E21-91C9-C31B6B9C6513}">
  <sheetPr>
    <pageSetUpPr fitToPage="1"/>
  </sheetPr>
  <dimension ref="A1:H38"/>
  <sheetViews>
    <sheetView workbookViewId="0">
      <pane ySplit="2" topLeftCell="A32" activePane="bottomLeft" state="frozen"/>
      <selection pane="bottomLeft" activeCell="A34" sqref="A34:XFD36"/>
    </sheetView>
  </sheetViews>
  <sheetFormatPr defaultRowHeight="15"/>
  <cols>
    <col min="1" max="1" width="44" customWidth="1"/>
    <col min="2" max="2" width="22" customWidth="1"/>
    <col min="3" max="3" width="24" customWidth="1"/>
    <col min="4" max="4" width="22" customWidth="1"/>
    <col min="5" max="5" width="18" customWidth="1"/>
  </cols>
  <sheetData>
    <row r="1" spans="1:5" ht="36" customHeight="1">
      <c r="A1" s="23" t="s">
        <v>61</v>
      </c>
      <c r="B1" s="22"/>
      <c r="C1" s="22"/>
      <c r="D1" s="22"/>
      <c r="E1" s="20"/>
    </row>
    <row r="2" spans="1:5" ht="21.95" customHeight="1">
      <c r="A2" s="24" t="s">
        <v>62</v>
      </c>
      <c r="B2" s="22"/>
      <c r="C2" s="22"/>
      <c r="D2" s="22"/>
      <c r="E2" s="20"/>
    </row>
    <row r="3" spans="1:5" ht="18" customHeight="1">
      <c r="A3" s="19" t="s">
        <v>2</v>
      </c>
      <c r="B3" s="20"/>
      <c r="C3" s="21"/>
      <c r="D3" s="22"/>
      <c r="E3" s="20"/>
    </row>
    <row r="5" spans="1:5" ht="21.95" customHeight="1">
      <c r="A5" s="24" t="s">
        <v>63</v>
      </c>
      <c r="B5" s="22"/>
      <c r="C5" s="22"/>
      <c r="D5" s="22"/>
      <c r="E5" s="20"/>
    </row>
    <row r="6" spans="1:5" ht="57.75" customHeight="1">
      <c r="A6" s="13" t="s">
        <v>64</v>
      </c>
      <c r="B6" s="31" t="s">
        <v>65</v>
      </c>
      <c r="C6" s="32"/>
      <c r="D6" s="13" t="s">
        <v>66</v>
      </c>
      <c r="E6" s="13" t="s">
        <v>67</v>
      </c>
    </row>
    <row r="7" spans="1:5" ht="21.95" customHeight="1">
      <c r="A7" s="15"/>
      <c r="B7" s="29"/>
      <c r="C7" s="30"/>
      <c r="D7" s="15"/>
      <c r="E7" s="15"/>
    </row>
    <row r="8" spans="1:5" ht="21.95" customHeight="1">
      <c r="A8" s="15"/>
      <c r="B8" s="29"/>
      <c r="C8" s="30"/>
      <c r="D8" s="15"/>
      <c r="E8" s="15"/>
    </row>
    <row r="9" spans="1:5" ht="21.95" customHeight="1">
      <c r="A9" s="24" t="s">
        <v>68</v>
      </c>
      <c r="B9" s="22"/>
      <c r="C9" s="22"/>
      <c r="D9" s="22"/>
      <c r="E9" s="20"/>
    </row>
    <row r="10" spans="1:5" ht="21.95" customHeight="1">
      <c r="A10" s="25" t="s">
        <v>69</v>
      </c>
      <c r="B10" s="20"/>
      <c r="C10" s="13" t="s">
        <v>60</v>
      </c>
      <c r="D10" s="25" t="s">
        <v>70</v>
      </c>
      <c r="E10" s="20"/>
    </row>
    <row r="11" spans="1:5" ht="27.95" customHeight="1">
      <c r="A11" s="26" t="s">
        <v>71</v>
      </c>
      <c r="B11" s="20"/>
      <c r="C11" s="15"/>
      <c r="D11" s="21"/>
      <c r="E11" s="20"/>
    </row>
    <row r="12" spans="1:5" ht="27.95" customHeight="1">
      <c r="A12" s="26" t="s">
        <v>72</v>
      </c>
      <c r="B12" s="20"/>
      <c r="C12" s="15"/>
      <c r="D12" s="21"/>
      <c r="E12" s="20"/>
    </row>
    <row r="13" spans="1:5" ht="27.95" customHeight="1">
      <c r="A13" s="26" t="s">
        <v>73</v>
      </c>
      <c r="B13" s="20"/>
      <c r="C13" s="15"/>
      <c r="D13" s="21"/>
      <c r="E13" s="20"/>
    </row>
    <row r="14" spans="1:5" ht="27.95" customHeight="1">
      <c r="A14" s="26" t="s">
        <v>74</v>
      </c>
      <c r="B14" s="20"/>
      <c r="C14" s="15"/>
      <c r="D14" s="21"/>
      <c r="E14" s="20"/>
    </row>
    <row r="15" spans="1:5" ht="21.95" customHeight="1">
      <c r="A15" s="24" t="s">
        <v>75</v>
      </c>
      <c r="B15" s="22"/>
      <c r="C15" s="22"/>
      <c r="D15" s="22"/>
      <c r="E15" s="20"/>
    </row>
    <row r="16" spans="1:5" ht="21.95" customHeight="1">
      <c r="A16" s="25" t="s">
        <v>69</v>
      </c>
      <c r="B16" s="20"/>
      <c r="C16" s="13" t="s">
        <v>60</v>
      </c>
      <c r="D16" s="25" t="s">
        <v>76</v>
      </c>
      <c r="E16" s="20"/>
    </row>
    <row r="17" spans="1:8" ht="27.95" customHeight="1">
      <c r="A17" s="26" t="s">
        <v>77</v>
      </c>
      <c r="B17" s="20"/>
      <c r="C17" s="15"/>
      <c r="D17" s="21"/>
      <c r="E17" s="20"/>
    </row>
    <row r="18" spans="1:8" ht="27.95" customHeight="1">
      <c r="A18" s="26" t="s">
        <v>78</v>
      </c>
      <c r="B18" s="20"/>
      <c r="C18" s="15"/>
      <c r="D18" s="21"/>
      <c r="E18" s="20"/>
    </row>
    <row r="19" spans="1:8" ht="27.95" customHeight="1">
      <c r="A19" s="26" t="s">
        <v>79</v>
      </c>
      <c r="B19" s="20"/>
      <c r="C19" s="15"/>
      <c r="D19" s="21"/>
      <c r="E19" s="20"/>
    </row>
    <row r="20" spans="1:8" ht="34.5" customHeight="1">
      <c r="A20" s="26" t="s">
        <v>80</v>
      </c>
      <c r="B20" s="20"/>
      <c r="C20" s="15"/>
      <c r="D20" s="21"/>
      <c r="E20" s="20"/>
    </row>
    <row r="21" spans="1:8" ht="21.95" customHeight="1">
      <c r="A21" s="24" t="s">
        <v>81</v>
      </c>
      <c r="B21" s="22"/>
      <c r="C21" s="22"/>
      <c r="D21" s="22"/>
      <c r="E21" s="20"/>
    </row>
    <row r="22" spans="1:8" ht="21.95" customHeight="1">
      <c r="A22" s="25" t="s">
        <v>69</v>
      </c>
      <c r="B22" s="20"/>
      <c r="C22" s="13" t="s">
        <v>60</v>
      </c>
      <c r="D22" s="25" t="s">
        <v>76</v>
      </c>
      <c r="E22" s="20"/>
    </row>
    <row r="23" spans="1:8" ht="27.95" customHeight="1">
      <c r="A23" s="26" t="s">
        <v>82</v>
      </c>
      <c r="B23" s="20"/>
      <c r="C23" s="15"/>
      <c r="D23" s="21"/>
      <c r="E23" s="20"/>
    </row>
    <row r="24" spans="1:8" ht="27.95" customHeight="1">
      <c r="A24" s="26" t="s">
        <v>83</v>
      </c>
      <c r="B24" s="20"/>
      <c r="C24" s="15"/>
      <c r="D24" s="21"/>
      <c r="E24" s="20"/>
    </row>
    <row r="25" spans="1:8" ht="32.25" customHeight="1">
      <c r="A25" s="26" t="s">
        <v>84</v>
      </c>
      <c r="B25" s="20"/>
      <c r="C25" s="15"/>
      <c r="D25" s="21"/>
      <c r="E25" s="20"/>
    </row>
    <row r="26" spans="1:8" ht="33" customHeight="1">
      <c r="A26" s="26" t="s">
        <v>85</v>
      </c>
      <c r="B26" s="20"/>
      <c r="C26" s="15"/>
      <c r="D26" s="21"/>
      <c r="E26" s="20"/>
    </row>
    <row r="27" spans="1:8" ht="21.95" customHeight="1">
      <c r="A27" s="24" t="s">
        <v>86</v>
      </c>
      <c r="B27" s="22"/>
      <c r="C27" s="22"/>
      <c r="D27" s="22"/>
      <c r="E27" s="20"/>
    </row>
    <row r="28" spans="1:8" ht="21.95" customHeight="1">
      <c r="A28" s="25" t="s">
        <v>69</v>
      </c>
      <c r="B28" s="20"/>
      <c r="C28" s="13" t="s">
        <v>60</v>
      </c>
      <c r="D28" s="25" t="s">
        <v>76</v>
      </c>
      <c r="E28" s="20"/>
    </row>
    <row r="29" spans="1:8" ht="27.95" customHeight="1">
      <c r="A29" s="26" t="s">
        <v>87</v>
      </c>
      <c r="B29" s="20"/>
      <c r="C29" s="15"/>
      <c r="D29" s="21"/>
      <c r="E29" s="20"/>
    </row>
    <row r="30" spans="1:8" ht="27.95" customHeight="1">
      <c r="A30" s="26" t="s">
        <v>88</v>
      </c>
      <c r="B30" s="20"/>
      <c r="C30" s="15"/>
      <c r="D30" s="21"/>
      <c r="E30" s="20"/>
    </row>
    <row r="31" spans="1:8" ht="27.95" customHeight="1">
      <c r="A31" s="26" t="s">
        <v>89</v>
      </c>
      <c r="B31" s="20"/>
      <c r="C31" s="15"/>
      <c r="D31" s="21"/>
      <c r="E31" s="20"/>
    </row>
    <row r="32" spans="1:8" ht="27.95" customHeight="1">
      <c r="A32" s="26" t="s">
        <v>90</v>
      </c>
      <c r="B32" s="20"/>
      <c r="C32" s="15"/>
      <c r="D32" s="21"/>
      <c r="E32" s="20"/>
      <c r="H32" s="4"/>
    </row>
    <row r="34" spans="1:6">
      <c r="A34" s="40" t="s">
        <v>91</v>
      </c>
      <c r="B34" s="41"/>
      <c r="C34" s="41"/>
      <c r="D34" s="41"/>
      <c r="E34" s="41"/>
    </row>
    <row r="35" spans="1:6">
      <c r="A35" s="5" t="s">
        <v>92</v>
      </c>
      <c r="B35" s="6"/>
      <c r="C35" s="6"/>
      <c r="D35" s="6"/>
      <c r="E35" s="6"/>
    </row>
    <row r="36" spans="1:6">
      <c r="A36" s="42" t="str">
        <f>IF(COUNTIF(C11:C32,"No")&gt;0,
"Not Compliant",
"Compliant")</f>
        <v>Compliant</v>
      </c>
      <c r="B36" s="43"/>
      <c r="C36" s="43"/>
      <c r="D36" s="43"/>
      <c r="E36" s="43"/>
    </row>
    <row r="37" spans="1:6">
      <c r="A37" s="31" t="s">
        <v>59</v>
      </c>
      <c r="B37" s="37"/>
      <c r="C37" s="37"/>
      <c r="D37" s="37"/>
      <c r="E37" s="37"/>
    </row>
    <row r="38" spans="1:6">
      <c r="A38" s="1" t="str" cm="1">
        <f t="array" ref="A38">_xlfn._xlws.FILTER(A11:A32,(C11:C32="No")+(C11:C32="Partially"),"No gaps")</f>
        <v>No gaps</v>
      </c>
      <c r="F38" s="2" t="str" cm="1">
        <f t="array" ref="F38">_xlfn._xlws.FILTER(D2:D97,(D2:D97="No")+(D2:D97="Partially"),"")</f>
        <v/>
      </c>
    </row>
  </sheetData>
  <mergeCells count="55">
    <mergeCell ref="A26:B26"/>
    <mergeCell ref="D26:E26"/>
    <mergeCell ref="A27:E27"/>
    <mergeCell ref="A24:B24"/>
    <mergeCell ref="D24:E24"/>
    <mergeCell ref="A25:B25"/>
    <mergeCell ref="D25:E25"/>
    <mergeCell ref="A28:B28"/>
    <mergeCell ref="D28:E28"/>
    <mergeCell ref="A29:B29"/>
    <mergeCell ref="D29:E29"/>
    <mergeCell ref="A30:B30"/>
    <mergeCell ref="D30:E30"/>
    <mergeCell ref="A37:E37"/>
    <mergeCell ref="A31:B31"/>
    <mergeCell ref="D31:E31"/>
    <mergeCell ref="A32:B32"/>
    <mergeCell ref="D32:E32"/>
    <mergeCell ref="A34:E34"/>
    <mergeCell ref="A36:E36"/>
    <mergeCell ref="A22:B22"/>
    <mergeCell ref="D22:E22"/>
    <mergeCell ref="A23:B23"/>
    <mergeCell ref="D23:E23"/>
    <mergeCell ref="A20:B20"/>
    <mergeCell ref="D20:E20"/>
    <mergeCell ref="A21:E21"/>
    <mergeCell ref="A17:B17"/>
    <mergeCell ref="D17:E17"/>
    <mergeCell ref="A18:B18"/>
    <mergeCell ref="D18:E18"/>
    <mergeCell ref="A19:B19"/>
    <mergeCell ref="D19:E19"/>
    <mergeCell ref="A14:B14"/>
    <mergeCell ref="D14:E14"/>
    <mergeCell ref="A15:E15"/>
    <mergeCell ref="A16:B16"/>
    <mergeCell ref="D16:E16"/>
    <mergeCell ref="A11:B11"/>
    <mergeCell ref="D11:E11"/>
    <mergeCell ref="A12:B12"/>
    <mergeCell ref="D12:E12"/>
    <mergeCell ref="A13:B13"/>
    <mergeCell ref="D13:E13"/>
    <mergeCell ref="A5:E5"/>
    <mergeCell ref="A9:E9"/>
    <mergeCell ref="A10:B10"/>
    <mergeCell ref="D10:E10"/>
    <mergeCell ref="A1:E1"/>
    <mergeCell ref="A2:E2"/>
    <mergeCell ref="A3:B3"/>
    <mergeCell ref="C3:E3"/>
    <mergeCell ref="B6:C6"/>
    <mergeCell ref="B7:C7"/>
    <mergeCell ref="B8:C8"/>
  </mergeCells>
  <conditionalFormatting sqref="A36">
    <cfRule type="expression" dxfId="5" priority="3">
      <formula>A36:B36="Not Compliant"</formula>
    </cfRule>
  </conditionalFormatting>
  <conditionalFormatting sqref="A36">
    <cfRule type="expression" dxfId="4" priority="1">
      <formula>A11:A32="Compliant"</formula>
    </cfRule>
  </conditionalFormatting>
  <dataValidations count="3">
    <dataValidation type="list" allowBlank="1" showInputMessage="1" showErrorMessage="1" sqref="D7:D8" xr:uid="{A158EE25-C771-4CDC-84F2-F8612A6C4D1A}">
      <formula1>"Yes,No"</formula1>
    </dataValidation>
    <dataValidation type="list" allowBlank="1" showInputMessage="1" showErrorMessage="1" sqref="B7:C8" xr:uid="{7FA9903D-AF6C-49D2-944E-CA339E2A8C89}">
      <formula1>"C0,C1,C2,C3,C4"</formula1>
    </dataValidation>
    <dataValidation type="list" allowBlank="1" showInputMessage="1" showErrorMessage="1" sqref="C11:C14 C17:C20 C23:C26 C29:C32" xr:uid="{157D2949-9D02-4D5C-9060-A1A123CA7E91}">
      <formula1>"Yes,No,Not Applicable"</formula1>
    </dataValidation>
  </dataValidations>
  <pageMargins left="0.5" right="0.5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E99A-0B19-4709-BAC9-0231DBE54841}">
  <sheetPr>
    <pageSetUpPr fitToPage="1"/>
  </sheetPr>
  <dimension ref="A1:F18"/>
  <sheetViews>
    <sheetView workbookViewId="0">
      <pane ySplit="1" topLeftCell="A2" activePane="bottomLeft" state="frozen"/>
      <selection pane="bottomLeft" activeCell="G16" sqref="G16"/>
    </sheetView>
  </sheetViews>
  <sheetFormatPr defaultRowHeight="15"/>
  <cols>
    <col min="1" max="1" width="36" customWidth="1"/>
    <col min="2" max="2" width="18" customWidth="1"/>
    <col min="3" max="4" width="20" customWidth="1"/>
    <col min="5" max="6" width="18" customWidth="1"/>
  </cols>
  <sheetData>
    <row r="1" spans="1:6" ht="36" customHeight="1">
      <c r="A1" s="48" t="s">
        <v>93</v>
      </c>
      <c r="B1" s="22"/>
      <c r="C1" s="22"/>
      <c r="D1" s="22"/>
      <c r="E1" s="22"/>
      <c r="F1" s="20"/>
    </row>
    <row r="2" spans="1:6" ht="21.95" customHeight="1">
      <c r="A2" s="24" t="s">
        <v>62</v>
      </c>
      <c r="B2" s="22"/>
      <c r="C2" s="22"/>
      <c r="D2" s="22"/>
      <c r="E2" s="22"/>
      <c r="F2" s="20"/>
    </row>
    <row r="3" spans="1:6" ht="18" customHeight="1">
      <c r="A3" s="19" t="s">
        <v>2</v>
      </c>
      <c r="B3" s="20"/>
      <c r="C3" s="21"/>
      <c r="D3" s="22"/>
      <c r="E3" s="22"/>
      <c r="F3" s="20"/>
    </row>
    <row r="4" spans="1:6" ht="18" customHeight="1">
      <c r="A4" s="19" t="s">
        <v>3</v>
      </c>
      <c r="B4" s="20"/>
      <c r="C4" s="21"/>
      <c r="D4" s="22"/>
      <c r="E4" s="22"/>
      <c r="F4" s="20"/>
    </row>
    <row r="6" spans="1:6" ht="21.95" customHeight="1">
      <c r="A6" s="24" t="s">
        <v>94</v>
      </c>
      <c r="B6" s="22"/>
      <c r="C6" s="22"/>
      <c r="D6" s="22"/>
      <c r="E6" s="22"/>
      <c r="F6" s="20"/>
    </row>
    <row r="7" spans="1:6" ht="48.75" customHeight="1">
      <c r="A7" s="13" t="s">
        <v>95</v>
      </c>
      <c r="B7" s="13" t="s">
        <v>96</v>
      </c>
      <c r="C7" s="13" t="s">
        <v>97</v>
      </c>
      <c r="D7" s="13" t="s">
        <v>98</v>
      </c>
      <c r="E7" s="45" t="s">
        <v>76</v>
      </c>
      <c r="F7" s="46"/>
    </row>
    <row r="8" spans="1:6" ht="39.950000000000003" customHeight="1">
      <c r="A8" s="15"/>
      <c r="B8" s="15"/>
      <c r="C8" s="15"/>
      <c r="D8" s="7"/>
      <c r="E8" s="47"/>
      <c r="F8" s="47"/>
    </row>
    <row r="9" spans="1:6" ht="39.950000000000003" customHeight="1">
      <c r="A9" s="15"/>
      <c r="B9" s="15"/>
      <c r="C9" s="15"/>
      <c r="D9" s="7"/>
      <c r="E9" s="47"/>
      <c r="F9" s="47"/>
    </row>
    <row r="10" spans="1:6" ht="39.950000000000003" customHeight="1">
      <c r="A10" s="15"/>
      <c r="B10" s="15"/>
      <c r="C10" s="15"/>
      <c r="D10" s="7"/>
      <c r="E10" s="44"/>
      <c r="F10" s="44"/>
    </row>
    <row r="12" spans="1:6" ht="20.100000000000001" customHeight="1">
      <c r="A12" s="19" t="s">
        <v>99</v>
      </c>
      <c r="B12" s="22"/>
      <c r="C12" s="22"/>
      <c r="D12" s="22"/>
      <c r="E12" s="22"/>
      <c r="F12" s="20"/>
    </row>
    <row r="13" spans="1:6" ht="50.1" customHeight="1">
      <c r="A13" s="21"/>
      <c r="B13" s="22"/>
      <c r="C13" s="22"/>
      <c r="D13" s="22"/>
      <c r="E13" s="22"/>
      <c r="F13" s="20"/>
    </row>
    <row r="14" spans="1:6" ht="21.95" customHeight="1">
      <c r="A14" s="24" t="s">
        <v>100</v>
      </c>
      <c r="B14" s="22"/>
      <c r="C14" s="22"/>
      <c r="D14" s="22"/>
      <c r="E14" s="22"/>
      <c r="F14" s="20"/>
    </row>
    <row r="15" spans="1:6" ht="39.75" customHeight="1">
      <c r="A15" s="13" t="s">
        <v>101</v>
      </c>
      <c r="B15" s="31" t="s">
        <v>102</v>
      </c>
      <c r="C15" s="32"/>
      <c r="D15" s="45" t="s">
        <v>76</v>
      </c>
      <c r="E15" s="46"/>
      <c r="F15" s="46"/>
    </row>
    <row r="16" spans="1:6" ht="43.5" customHeight="1">
      <c r="A16" s="11" t="s">
        <v>103</v>
      </c>
      <c r="B16" s="29"/>
      <c r="C16" s="30"/>
      <c r="D16" s="47"/>
      <c r="E16" s="47"/>
      <c r="F16" s="47"/>
    </row>
    <row r="17" spans="1:6" ht="35.25" customHeight="1">
      <c r="A17" s="11" t="s">
        <v>104</v>
      </c>
      <c r="B17" s="29"/>
      <c r="C17" s="30"/>
      <c r="D17" s="47"/>
      <c r="E17" s="47"/>
      <c r="F17" s="47"/>
    </row>
    <row r="18" spans="1:6" ht="40.5" customHeight="1">
      <c r="A18" s="11" t="s">
        <v>105</v>
      </c>
      <c r="B18" s="29"/>
      <c r="C18" s="30"/>
      <c r="D18" s="44"/>
      <c r="E18" s="44"/>
      <c r="F18" s="44"/>
    </row>
  </sheetData>
  <mergeCells count="22">
    <mergeCell ref="A4:B4"/>
    <mergeCell ref="C4:F4"/>
    <mergeCell ref="A1:F1"/>
    <mergeCell ref="A2:F2"/>
    <mergeCell ref="A3:B3"/>
    <mergeCell ref="C3:F3"/>
    <mergeCell ref="A12:F12"/>
    <mergeCell ref="B15:C15"/>
    <mergeCell ref="D15:F15"/>
    <mergeCell ref="D16:F16"/>
    <mergeCell ref="D17:F17"/>
    <mergeCell ref="E7:F7"/>
    <mergeCell ref="E8:F8"/>
    <mergeCell ref="E9:F9"/>
    <mergeCell ref="E10:F10"/>
    <mergeCell ref="A6:F6"/>
    <mergeCell ref="D18:F18"/>
    <mergeCell ref="B16:C16"/>
    <mergeCell ref="B17:C17"/>
    <mergeCell ref="B18:C18"/>
    <mergeCell ref="A13:F13"/>
    <mergeCell ref="A14:F14"/>
  </mergeCells>
  <dataValidations count="2">
    <dataValidation type="list" allowBlank="1" showInputMessage="1" showErrorMessage="1" sqref="C4:F4" xr:uid="{4611B759-38F2-4787-B7E6-676014B6872A}">
      <formula1>"PoC,Production"</formula1>
    </dataValidation>
    <dataValidation type="list" allowBlank="1" showInputMessage="1" showErrorMessage="1" sqref="D8:D10" xr:uid="{5043B5BB-BB41-40F3-AE35-FE3ECA94D380}">
      <formula1>"Yes,No"</formula1>
    </dataValidation>
  </dataValidations>
  <pageMargins left="0.5" right="0.5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6971-9B90-4B77-AA5A-67118CDB9EA9}">
  <sheetPr>
    <pageSetUpPr fitToPage="1"/>
  </sheetPr>
  <dimension ref="A1:F56"/>
  <sheetViews>
    <sheetView workbookViewId="0">
      <pane ySplit="2" topLeftCell="A3" activePane="bottomLeft" state="frozen"/>
      <selection pane="bottomLeft" activeCell="I51" sqref="I51"/>
    </sheetView>
  </sheetViews>
  <sheetFormatPr defaultRowHeight="15"/>
  <cols>
    <col min="1" max="1" width="46" customWidth="1"/>
    <col min="2" max="2" width="20" customWidth="1"/>
    <col min="3" max="3" width="12" customWidth="1"/>
    <col min="4" max="5" width="26" customWidth="1"/>
  </cols>
  <sheetData>
    <row r="1" spans="1:5" ht="36" customHeight="1">
      <c r="A1" s="23" t="s">
        <v>106</v>
      </c>
      <c r="B1" s="22"/>
      <c r="C1" s="22"/>
      <c r="D1" s="22"/>
      <c r="E1" s="20"/>
    </row>
    <row r="2" spans="1:5" ht="21.95" customHeight="1">
      <c r="A2" s="24" t="s">
        <v>62</v>
      </c>
      <c r="B2" s="22"/>
      <c r="C2" s="22"/>
      <c r="D2" s="22"/>
      <c r="E2" s="20"/>
    </row>
    <row r="3" spans="1:5" ht="18" customHeight="1">
      <c r="A3" s="19" t="s">
        <v>2</v>
      </c>
      <c r="B3" s="20"/>
      <c r="C3" s="21"/>
      <c r="D3" s="22"/>
      <c r="E3" s="20"/>
    </row>
    <row r="4" spans="1:5" ht="18" customHeight="1">
      <c r="A4" s="19" t="s">
        <v>3</v>
      </c>
      <c r="B4" s="20"/>
      <c r="C4" s="21"/>
      <c r="D4" s="22"/>
      <c r="E4" s="20"/>
    </row>
    <row r="6" spans="1:5" ht="47.25" customHeight="1">
      <c r="A6" s="25" t="s">
        <v>107</v>
      </c>
      <c r="B6" s="20"/>
      <c r="C6" s="13" t="s">
        <v>108</v>
      </c>
      <c r="D6" s="13" t="s">
        <v>60</v>
      </c>
      <c r="E6" s="13" t="s">
        <v>109</v>
      </c>
    </row>
    <row r="7" spans="1:5" ht="21.95" customHeight="1">
      <c r="A7" s="24" t="s">
        <v>110</v>
      </c>
      <c r="B7" s="22"/>
      <c r="C7" s="22"/>
      <c r="D7" s="22"/>
      <c r="E7" s="20"/>
    </row>
    <row r="8" spans="1:5" ht="27.95" customHeight="1">
      <c r="A8" s="26" t="s">
        <v>111</v>
      </c>
      <c r="B8" s="20"/>
      <c r="C8" s="8" t="s">
        <v>112</v>
      </c>
      <c r="D8" s="15"/>
      <c r="E8" s="15"/>
    </row>
    <row r="9" spans="1:5" ht="27.95" customHeight="1">
      <c r="A9" s="26" t="s">
        <v>113</v>
      </c>
      <c r="B9" s="20"/>
      <c r="C9" s="9" t="s">
        <v>114</v>
      </c>
      <c r="D9" s="15"/>
      <c r="E9" s="15"/>
    </row>
    <row r="10" spans="1:5" ht="33.75" customHeight="1">
      <c r="A10" s="26" t="s">
        <v>115</v>
      </c>
      <c r="B10" s="20"/>
      <c r="C10" s="8" t="s">
        <v>112</v>
      </c>
      <c r="D10" s="15"/>
      <c r="E10" s="15"/>
    </row>
    <row r="11" spans="1:5" ht="21.95" customHeight="1">
      <c r="A11" s="24" t="s">
        <v>116</v>
      </c>
      <c r="B11" s="22"/>
      <c r="C11" s="22"/>
      <c r="D11" s="22"/>
      <c r="E11" s="20"/>
    </row>
    <row r="12" spans="1:5" ht="33" customHeight="1">
      <c r="A12" s="26" t="s">
        <v>117</v>
      </c>
      <c r="B12" s="20"/>
      <c r="C12" s="10" t="s">
        <v>118</v>
      </c>
      <c r="D12" s="15"/>
      <c r="E12" s="15"/>
    </row>
    <row r="13" spans="1:5" ht="33" customHeight="1">
      <c r="A13" s="26" t="s">
        <v>119</v>
      </c>
      <c r="B13" s="20"/>
      <c r="C13" s="9" t="s">
        <v>114</v>
      </c>
      <c r="D13" s="15"/>
      <c r="E13" s="15"/>
    </row>
    <row r="14" spans="1:5" ht="36.75" customHeight="1">
      <c r="A14" s="26" t="s">
        <v>120</v>
      </c>
      <c r="B14" s="20"/>
      <c r="C14" s="8" t="s">
        <v>112</v>
      </c>
      <c r="D14" s="15"/>
      <c r="E14" s="15"/>
    </row>
    <row r="15" spans="1:5" ht="21.95" customHeight="1">
      <c r="A15" s="24" t="s">
        <v>121</v>
      </c>
      <c r="B15" s="22"/>
      <c r="C15" s="22"/>
      <c r="D15" s="22"/>
      <c r="E15" s="20"/>
    </row>
    <row r="16" spans="1:5" ht="27.95" customHeight="1">
      <c r="A16" s="26" t="s">
        <v>122</v>
      </c>
      <c r="B16" s="20"/>
      <c r="C16" s="8" t="s">
        <v>112</v>
      </c>
      <c r="D16" s="15"/>
      <c r="E16" s="15"/>
    </row>
    <row r="17" spans="1:5" ht="27.95" customHeight="1">
      <c r="A17" s="26" t="s">
        <v>123</v>
      </c>
      <c r="B17" s="20"/>
      <c r="C17" s="10" t="s">
        <v>118</v>
      </c>
      <c r="D17" s="15"/>
      <c r="E17" s="15"/>
    </row>
    <row r="18" spans="1:5" ht="27.95" customHeight="1">
      <c r="A18" s="26" t="s">
        <v>124</v>
      </c>
      <c r="B18" s="20"/>
      <c r="C18" s="10" t="s">
        <v>118</v>
      </c>
      <c r="D18" s="15"/>
      <c r="E18" s="15"/>
    </row>
    <row r="19" spans="1:5" ht="27.95" customHeight="1">
      <c r="A19" s="26" t="s">
        <v>125</v>
      </c>
      <c r="B19" s="20"/>
      <c r="C19" s="8" t="s">
        <v>112</v>
      </c>
      <c r="D19" s="15"/>
      <c r="E19" s="15"/>
    </row>
    <row r="20" spans="1:5" ht="27.95" customHeight="1">
      <c r="A20" s="26" t="s">
        <v>126</v>
      </c>
      <c r="B20" s="20"/>
      <c r="C20" s="8" t="s">
        <v>112</v>
      </c>
      <c r="D20" s="15"/>
      <c r="E20" s="15"/>
    </row>
    <row r="21" spans="1:5" ht="21.95" customHeight="1">
      <c r="A21" s="24" t="s">
        <v>127</v>
      </c>
      <c r="B21" s="22"/>
      <c r="C21" s="22"/>
      <c r="D21" s="22"/>
      <c r="E21" s="20"/>
    </row>
    <row r="22" spans="1:5" ht="27.95" customHeight="1">
      <c r="A22" s="26" t="s">
        <v>128</v>
      </c>
      <c r="B22" s="20"/>
      <c r="C22" s="8" t="s">
        <v>112</v>
      </c>
      <c r="D22" s="15"/>
      <c r="E22" s="15"/>
    </row>
    <row r="23" spans="1:5" ht="27.95" customHeight="1">
      <c r="A23" s="26" t="s">
        <v>129</v>
      </c>
      <c r="B23" s="20"/>
      <c r="C23" s="8" t="s">
        <v>112</v>
      </c>
      <c r="D23" s="15"/>
      <c r="E23" s="15"/>
    </row>
    <row r="24" spans="1:5" ht="27.95" customHeight="1">
      <c r="A24" s="26" t="s">
        <v>130</v>
      </c>
      <c r="B24" s="20"/>
      <c r="C24" s="8" t="s">
        <v>112</v>
      </c>
      <c r="D24" s="15"/>
      <c r="E24" s="15"/>
    </row>
    <row r="25" spans="1:5" ht="27.95" customHeight="1">
      <c r="A25" s="26" t="s">
        <v>131</v>
      </c>
      <c r="B25" s="20"/>
      <c r="C25" s="8" t="s">
        <v>112</v>
      </c>
      <c r="D25" s="15"/>
      <c r="E25" s="15"/>
    </row>
    <row r="26" spans="1:5" ht="27.95" customHeight="1">
      <c r="A26" s="26" t="s">
        <v>132</v>
      </c>
      <c r="B26" s="20"/>
      <c r="C26" s="8" t="s">
        <v>112</v>
      </c>
      <c r="D26" s="15"/>
      <c r="E26" s="15"/>
    </row>
    <row r="27" spans="1:5" ht="27.95" customHeight="1">
      <c r="A27" s="26" t="s">
        <v>133</v>
      </c>
      <c r="B27" s="20"/>
      <c r="C27" s="8" t="s">
        <v>112</v>
      </c>
      <c r="D27" s="15"/>
      <c r="E27" s="15"/>
    </row>
    <row r="28" spans="1:5" ht="21.95" customHeight="1">
      <c r="A28" s="24" t="s">
        <v>134</v>
      </c>
      <c r="B28" s="22"/>
      <c r="C28" s="22"/>
      <c r="D28" s="22"/>
      <c r="E28" s="20"/>
    </row>
    <row r="29" spans="1:5" ht="27.95" customHeight="1">
      <c r="A29" s="26" t="s">
        <v>135</v>
      </c>
      <c r="B29" s="20"/>
      <c r="C29" s="8" t="s">
        <v>112</v>
      </c>
      <c r="D29" s="15"/>
      <c r="E29" s="15"/>
    </row>
    <row r="30" spans="1:5" ht="27.95" customHeight="1">
      <c r="A30" s="26" t="s">
        <v>136</v>
      </c>
      <c r="B30" s="20"/>
      <c r="C30" s="8" t="s">
        <v>112</v>
      </c>
      <c r="D30" s="15"/>
      <c r="E30" s="15"/>
    </row>
    <row r="31" spans="1:5" ht="27.95" customHeight="1">
      <c r="A31" s="26" t="s">
        <v>137</v>
      </c>
      <c r="B31" s="20"/>
      <c r="C31" s="8" t="s">
        <v>112</v>
      </c>
      <c r="D31" s="15"/>
      <c r="E31" s="15"/>
    </row>
    <row r="32" spans="1:5" ht="27.95" customHeight="1">
      <c r="A32" s="26" t="s">
        <v>138</v>
      </c>
      <c r="B32" s="20"/>
      <c r="C32" s="8" t="s">
        <v>112</v>
      </c>
      <c r="D32" s="15"/>
      <c r="E32" s="15"/>
    </row>
    <row r="33" spans="1:5" ht="21.95" customHeight="1">
      <c r="A33" s="24" t="s">
        <v>139</v>
      </c>
      <c r="B33" s="22"/>
      <c r="C33" s="22"/>
      <c r="D33" s="22"/>
      <c r="E33" s="20"/>
    </row>
    <row r="34" spans="1:5" ht="27.95" customHeight="1">
      <c r="A34" s="26" t="s">
        <v>140</v>
      </c>
      <c r="B34" s="20"/>
      <c r="C34" s="8" t="s">
        <v>112</v>
      </c>
      <c r="D34" s="15"/>
      <c r="E34" s="15"/>
    </row>
    <row r="35" spans="1:5" ht="27.95" customHeight="1">
      <c r="A35" s="26" t="s">
        <v>141</v>
      </c>
      <c r="B35" s="20"/>
      <c r="C35" s="10" t="s">
        <v>118</v>
      </c>
      <c r="D35" s="15"/>
      <c r="E35" s="15"/>
    </row>
    <row r="36" spans="1:5" ht="27.95" customHeight="1">
      <c r="A36" s="26" t="s">
        <v>142</v>
      </c>
      <c r="B36" s="20"/>
      <c r="C36" s="9" t="s">
        <v>114</v>
      </c>
      <c r="D36" s="15"/>
      <c r="E36" s="15"/>
    </row>
    <row r="37" spans="1:5" ht="21.95" customHeight="1">
      <c r="A37" s="24" t="s">
        <v>143</v>
      </c>
      <c r="B37" s="22"/>
      <c r="C37" s="22"/>
      <c r="D37" s="22"/>
      <c r="E37" s="20"/>
    </row>
    <row r="38" spans="1:5" ht="34.5" customHeight="1">
      <c r="A38" s="26" t="s">
        <v>144</v>
      </c>
      <c r="B38" s="20"/>
      <c r="C38" s="8" t="s">
        <v>112</v>
      </c>
      <c r="D38" s="15"/>
      <c r="E38" s="15"/>
    </row>
    <row r="39" spans="1:5" ht="36" customHeight="1">
      <c r="A39" s="26" t="s">
        <v>145</v>
      </c>
      <c r="B39" s="20"/>
      <c r="C39" s="8" t="s">
        <v>112</v>
      </c>
      <c r="D39" s="15"/>
      <c r="E39" s="15"/>
    </row>
    <row r="40" spans="1:5" ht="37.5" customHeight="1">
      <c r="A40" s="26" t="s">
        <v>146</v>
      </c>
      <c r="B40" s="20"/>
      <c r="C40" s="9" t="s">
        <v>114</v>
      </c>
      <c r="D40" s="15"/>
      <c r="E40" s="15"/>
    </row>
    <row r="41" spans="1:5" ht="39" customHeight="1">
      <c r="A41" s="26" t="s">
        <v>147</v>
      </c>
      <c r="B41" s="20"/>
      <c r="C41" s="8" t="s">
        <v>112</v>
      </c>
      <c r="D41" s="15"/>
      <c r="E41" s="15"/>
    </row>
    <row r="42" spans="1:5" ht="35.25" customHeight="1">
      <c r="A42" s="26" t="s">
        <v>148</v>
      </c>
      <c r="B42" s="20"/>
      <c r="C42" s="8" t="s">
        <v>112</v>
      </c>
      <c r="D42" s="15"/>
      <c r="E42" s="15"/>
    </row>
    <row r="43" spans="1:5" ht="21.95" customHeight="1">
      <c r="A43" s="24" t="s">
        <v>149</v>
      </c>
      <c r="B43" s="22"/>
      <c r="C43" s="22"/>
      <c r="D43" s="22"/>
      <c r="E43" s="20"/>
    </row>
    <row r="44" spans="1:5" ht="27.95" customHeight="1">
      <c r="A44" s="26" t="s">
        <v>150</v>
      </c>
      <c r="B44" s="20"/>
      <c r="C44" s="8" t="s">
        <v>112</v>
      </c>
      <c r="D44" s="15"/>
      <c r="E44" s="15"/>
    </row>
    <row r="45" spans="1:5" ht="27.95" customHeight="1">
      <c r="A45" s="26" t="s">
        <v>151</v>
      </c>
      <c r="B45" s="20"/>
      <c r="C45" s="8" t="s">
        <v>112</v>
      </c>
      <c r="D45" s="15"/>
      <c r="E45" s="15"/>
    </row>
    <row r="46" spans="1:5" ht="27.95" customHeight="1">
      <c r="A46" s="26" t="s">
        <v>152</v>
      </c>
      <c r="B46" s="20"/>
      <c r="C46" s="8" t="s">
        <v>112</v>
      </c>
      <c r="D46" s="15"/>
      <c r="E46" s="15"/>
    </row>
    <row r="47" spans="1:5" ht="27.95" customHeight="1">
      <c r="A47" s="26" t="s">
        <v>153</v>
      </c>
      <c r="B47" s="20"/>
      <c r="C47" s="8" t="s">
        <v>112</v>
      </c>
      <c r="D47" s="15"/>
      <c r="E47" s="15"/>
    </row>
    <row r="48" spans="1:5" ht="21.95" customHeight="1">
      <c r="A48" s="24" t="s">
        <v>154</v>
      </c>
      <c r="B48" s="22"/>
      <c r="C48" s="22"/>
      <c r="D48" s="22"/>
      <c r="E48" s="20"/>
    </row>
    <row r="49" spans="1:6" ht="27.95" customHeight="1">
      <c r="A49" s="26" t="s">
        <v>155</v>
      </c>
      <c r="B49" s="20"/>
      <c r="C49" s="8" t="s">
        <v>112</v>
      </c>
      <c r="D49" s="15"/>
      <c r="E49" s="15"/>
    </row>
    <row r="50" spans="1:6" ht="27.95" customHeight="1">
      <c r="A50" s="26" t="s">
        <v>156</v>
      </c>
      <c r="B50" s="20"/>
      <c r="C50" s="8" t="s">
        <v>112</v>
      </c>
      <c r="D50" s="15"/>
      <c r="E50" s="15"/>
    </row>
    <row r="52" spans="1:6">
      <c r="A52" s="40" t="s">
        <v>91</v>
      </c>
      <c r="B52" s="41"/>
      <c r="C52" s="41"/>
      <c r="D52" s="41"/>
      <c r="E52" s="41"/>
    </row>
    <row r="53" spans="1:6">
      <c r="A53" s="5" t="s">
        <v>106</v>
      </c>
      <c r="B53" s="6"/>
      <c r="C53" s="6"/>
      <c r="D53" s="6"/>
      <c r="E53" s="6"/>
    </row>
    <row r="54" spans="1:6">
      <c r="A54" s="42" t="str">
        <f>IF(COUNTIF(D7:D50,"Pending")&gt;0,
"Incomplete",
"Complete")</f>
        <v>Complete</v>
      </c>
      <c r="B54" s="43"/>
      <c r="C54" s="43"/>
      <c r="D54" s="43"/>
      <c r="E54" s="43"/>
    </row>
    <row r="55" spans="1:6">
      <c r="A55" s="31" t="s">
        <v>157</v>
      </c>
      <c r="B55" s="37"/>
      <c r="C55" s="37"/>
      <c r="D55" s="37"/>
      <c r="E55" s="37"/>
    </row>
    <row r="56" spans="1:6">
      <c r="A56" s="49" t="str" cm="1">
        <f t="array" ref="A56">_xlfn._xlws.FILTER(A7:A50,(D7:D50="Pending"),"No pending items")</f>
        <v>No pending items</v>
      </c>
      <c r="F56" s="2" t="str" cm="1">
        <f t="array" ref="F56">_xlfn._xlws.FILTER(D20:D115,(D20:D115="No")+(D20:D115="Partially"),"")</f>
        <v/>
      </c>
    </row>
  </sheetData>
  <mergeCells count="54">
    <mergeCell ref="A52:E52"/>
    <mergeCell ref="A54:E54"/>
    <mergeCell ref="A55:E55"/>
    <mergeCell ref="A50:B50"/>
    <mergeCell ref="A41:B41"/>
    <mergeCell ref="A42:B42"/>
    <mergeCell ref="A43:E43"/>
    <mergeCell ref="A44:B44"/>
    <mergeCell ref="A45:B45"/>
    <mergeCell ref="A46:B46"/>
    <mergeCell ref="A47:B47"/>
    <mergeCell ref="A48:E48"/>
    <mergeCell ref="A49:B49"/>
    <mergeCell ref="A40:B40"/>
    <mergeCell ref="A31:B31"/>
    <mergeCell ref="A32:B32"/>
    <mergeCell ref="A33:E33"/>
    <mergeCell ref="A34:B34"/>
    <mergeCell ref="A35:B35"/>
    <mergeCell ref="A36:B36"/>
    <mergeCell ref="A37:E37"/>
    <mergeCell ref="A38:B38"/>
    <mergeCell ref="A39:B39"/>
    <mergeCell ref="A22:B22"/>
    <mergeCell ref="A23:B23"/>
    <mergeCell ref="A24:B24"/>
    <mergeCell ref="A25:B25"/>
    <mergeCell ref="A26:B26"/>
    <mergeCell ref="A27:B27"/>
    <mergeCell ref="A28:E28"/>
    <mergeCell ref="A29:B29"/>
    <mergeCell ref="A30:B30"/>
    <mergeCell ref="A21:E21"/>
    <mergeCell ref="A11:E11"/>
    <mergeCell ref="A12:B12"/>
    <mergeCell ref="A13:B13"/>
    <mergeCell ref="A14:B14"/>
    <mergeCell ref="A15:E15"/>
    <mergeCell ref="A16:B16"/>
    <mergeCell ref="A17:B17"/>
    <mergeCell ref="A18:B18"/>
    <mergeCell ref="A19:B19"/>
    <mergeCell ref="A20:B20"/>
    <mergeCell ref="A6:B6"/>
    <mergeCell ref="A7:E7"/>
    <mergeCell ref="A8:B8"/>
    <mergeCell ref="A9:B9"/>
    <mergeCell ref="A10:B10"/>
    <mergeCell ref="A4:B4"/>
    <mergeCell ref="C4:E4"/>
    <mergeCell ref="A1:E1"/>
    <mergeCell ref="A2:E2"/>
    <mergeCell ref="A3:B3"/>
    <mergeCell ref="C3:E3"/>
  </mergeCells>
  <conditionalFormatting sqref="A54">
    <cfRule type="expression" dxfId="3" priority="2">
      <formula>A54:B54="Incomplete"</formula>
    </cfRule>
  </conditionalFormatting>
  <conditionalFormatting sqref="A54">
    <cfRule type="expression" dxfId="2" priority="1">
      <formula>A7:A50="Complete"</formula>
    </cfRule>
  </conditionalFormatting>
  <dataValidations count="2">
    <dataValidation type="list" allowBlank="1" showInputMessage="1" showErrorMessage="1" sqref="C4:E4" xr:uid="{77BE5E64-A5D5-447F-80B6-743447D6A0A7}">
      <formula1>"PoC, Production"</formula1>
    </dataValidation>
    <dataValidation type="list" allowBlank="1" showInputMessage="1" showErrorMessage="1" sqref="D8:D10 D12:D14 D16:D20 D22:D27 D29:D32 D34:D36 D38:D42 D44:D47 D49:D50" xr:uid="{69B9C5C9-CC11-4494-92BF-120E54BD19B6}">
      <formula1>"Done,Pending,Not Applicable"</formula1>
    </dataValidation>
  </dataValidations>
  <pageMargins left="0.5" right="0.5" top="0.5" bottom="0.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583C-76F8-4662-ADFF-9917DDD14D06}">
  <sheetPr>
    <pageSetUpPr fitToPage="1"/>
  </sheetPr>
  <dimension ref="A1:G48"/>
  <sheetViews>
    <sheetView workbookViewId="0">
      <pane ySplit="1" topLeftCell="A2" activePane="bottomLeft" state="frozen"/>
      <selection pane="bottomLeft" activeCell="J20" sqref="J20"/>
    </sheetView>
  </sheetViews>
  <sheetFormatPr defaultRowHeight="15"/>
  <cols>
    <col min="1" max="1" width="30" customWidth="1"/>
    <col min="2" max="3" width="16" customWidth="1"/>
    <col min="4" max="4" width="18" customWidth="1"/>
    <col min="5" max="5" width="16" customWidth="1"/>
    <col min="6" max="7" width="14" customWidth="1"/>
  </cols>
  <sheetData>
    <row r="1" spans="1:7" ht="38.1" customHeight="1">
      <c r="A1" s="48" t="s">
        <v>158</v>
      </c>
      <c r="B1" s="22"/>
      <c r="C1" s="22"/>
      <c r="D1" s="22"/>
      <c r="E1" s="22"/>
      <c r="F1" s="22"/>
      <c r="G1" s="20"/>
    </row>
    <row r="2" spans="1:7" ht="20.100000000000001" customHeight="1">
      <c r="A2" s="24" t="s">
        <v>159</v>
      </c>
      <c r="B2" s="22"/>
      <c r="C2" s="22"/>
      <c r="D2" s="22"/>
      <c r="E2" s="22"/>
      <c r="F2" s="22"/>
      <c r="G2" s="20"/>
    </row>
    <row r="3" spans="1:7" ht="18" customHeight="1">
      <c r="A3" s="14" t="s">
        <v>160</v>
      </c>
      <c r="B3" s="21"/>
      <c r="C3" s="22"/>
      <c r="D3" s="22"/>
      <c r="E3" s="22"/>
      <c r="F3" s="22"/>
      <c r="G3" s="20"/>
    </row>
    <row r="4" spans="1:7" ht="18" customHeight="1">
      <c r="A4" s="14" t="s">
        <v>161</v>
      </c>
      <c r="B4" s="21"/>
      <c r="C4" s="22"/>
      <c r="D4" s="22"/>
      <c r="E4" s="22"/>
      <c r="F4" s="22"/>
      <c r="G4" s="20"/>
    </row>
    <row r="5" spans="1:7" ht="18" customHeight="1">
      <c r="A5" s="14" t="s">
        <v>2</v>
      </c>
      <c r="B5" s="21"/>
      <c r="C5" s="22"/>
      <c r="D5" s="22"/>
      <c r="E5" s="22"/>
      <c r="F5" s="22"/>
      <c r="G5" s="20"/>
    </row>
    <row r="6" spans="1:7" ht="18" customHeight="1">
      <c r="A6" s="14" t="s">
        <v>162</v>
      </c>
      <c r="B6" s="21"/>
      <c r="C6" s="22"/>
      <c r="D6" s="22"/>
      <c r="E6" s="22"/>
      <c r="F6" s="22"/>
      <c r="G6" s="20"/>
    </row>
    <row r="7" spans="1:7" ht="18" customHeight="1">
      <c r="A7" s="14" t="s">
        <v>163</v>
      </c>
      <c r="B7" s="21"/>
      <c r="C7" s="22"/>
      <c r="D7" s="22"/>
      <c r="E7" s="22"/>
      <c r="F7" s="22"/>
      <c r="G7" s="20"/>
    </row>
    <row r="8" spans="1:7" ht="18" customHeight="1">
      <c r="A8" s="14" t="s">
        <v>3</v>
      </c>
      <c r="B8" s="21"/>
      <c r="C8" s="22"/>
      <c r="D8" s="22"/>
      <c r="E8" s="22"/>
      <c r="F8" s="22"/>
      <c r="G8" s="20"/>
    </row>
    <row r="9" spans="1:7" ht="20.100000000000001" customHeight="1">
      <c r="A9" s="24" t="s">
        <v>164</v>
      </c>
      <c r="B9" s="22"/>
      <c r="C9" s="22"/>
      <c r="D9" s="22"/>
      <c r="E9" s="22"/>
      <c r="F9" s="22"/>
      <c r="G9" s="20"/>
    </row>
    <row r="10" spans="1:7" ht="36" customHeight="1">
      <c r="A10" s="14" t="s">
        <v>165</v>
      </c>
      <c r="B10" s="21"/>
      <c r="C10" s="22"/>
      <c r="D10" s="22"/>
      <c r="E10" s="22"/>
      <c r="F10" s="22"/>
      <c r="G10" s="20"/>
    </row>
    <row r="11" spans="1:7" ht="24" customHeight="1">
      <c r="A11" s="14" t="s">
        <v>166</v>
      </c>
      <c r="B11" s="21"/>
      <c r="C11" s="22"/>
      <c r="D11" s="22"/>
      <c r="E11" s="22"/>
      <c r="F11" s="22"/>
      <c r="G11" s="20"/>
    </row>
    <row r="12" spans="1:7" ht="36" customHeight="1">
      <c r="A12" s="14" t="s">
        <v>167</v>
      </c>
      <c r="B12" s="21"/>
      <c r="C12" s="22"/>
      <c r="D12" s="22"/>
      <c r="E12" s="22"/>
      <c r="F12" s="22"/>
      <c r="G12" s="20"/>
    </row>
    <row r="13" spans="1:7" ht="27.75" customHeight="1">
      <c r="A13" s="14" t="s">
        <v>168</v>
      </c>
      <c r="B13" s="21"/>
      <c r="C13" s="22"/>
      <c r="D13" s="22"/>
      <c r="E13" s="22"/>
      <c r="F13" s="22"/>
      <c r="G13" s="20"/>
    </row>
    <row r="14" spans="1:7" ht="20.100000000000001" customHeight="1">
      <c r="A14" s="24" t="s">
        <v>169</v>
      </c>
      <c r="B14" s="22"/>
      <c r="C14" s="22"/>
      <c r="D14" s="22"/>
      <c r="E14" s="22"/>
      <c r="F14" s="22"/>
      <c r="G14" s="20"/>
    </row>
    <row r="15" spans="1:7" ht="30.75" customHeight="1">
      <c r="A15" s="55" t="s">
        <v>170</v>
      </c>
      <c r="B15" s="56"/>
      <c r="C15" s="56"/>
      <c r="D15" s="56"/>
      <c r="E15" s="56"/>
      <c r="F15" s="56"/>
      <c r="G15" s="57"/>
    </row>
    <row r="16" spans="1:7" ht="39" customHeight="1">
      <c r="A16" s="31" t="s">
        <v>171</v>
      </c>
      <c r="B16" s="32"/>
      <c r="C16" s="31" t="s">
        <v>172</v>
      </c>
      <c r="D16" s="32"/>
      <c r="E16" s="31" t="s">
        <v>173</v>
      </c>
      <c r="F16" s="37"/>
      <c r="G16" s="32"/>
    </row>
    <row r="17" spans="1:7" ht="33" customHeight="1">
      <c r="A17" s="29" t="s">
        <v>174</v>
      </c>
      <c r="B17" s="30"/>
      <c r="C17" s="29"/>
      <c r="D17" s="30"/>
      <c r="E17" s="29"/>
      <c r="F17" s="53"/>
      <c r="G17" s="30"/>
    </row>
    <row r="18" spans="1:7" ht="24.75" customHeight="1">
      <c r="A18" s="29" t="s">
        <v>175</v>
      </c>
      <c r="B18" s="30"/>
      <c r="C18" s="29"/>
      <c r="D18" s="30"/>
      <c r="E18" s="29"/>
      <c r="F18" s="53"/>
      <c r="G18" s="30"/>
    </row>
    <row r="19" spans="1:7" ht="27" customHeight="1">
      <c r="A19" s="29" t="s">
        <v>176</v>
      </c>
      <c r="B19" s="30"/>
      <c r="C19" s="29"/>
      <c r="D19" s="30"/>
      <c r="E19" s="29"/>
      <c r="F19" s="53"/>
      <c r="G19" s="30"/>
    </row>
    <row r="20" spans="1:7" ht="27" customHeight="1">
      <c r="A20" s="29" t="s">
        <v>177</v>
      </c>
      <c r="B20" s="30"/>
      <c r="C20" s="29"/>
      <c r="D20" s="30"/>
      <c r="E20" s="29"/>
      <c r="F20" s="53"/>
      <c r="G20" s="30"/>
    </row>
    <row r="21" spans="1:7" ht="27" customHeight="1">
      <c r="A21" s="29" t="s">
        <v>178</v>
      </c>
      <c r="B21" s="53"/>
      <c r="C21" s="29"/>
      <c r="D21" s="30"/>
      <c r="E21" s="29"/>
      <c r="F21" s="53"/>
      <c r="G21" s="30"/>
    </row>
    <row r="22" spans="1:7" ht="27" customHeight="1">
      <c r="A22" s="29" t="s">
        <v>179</v>
      </c>
      <c r="B22" s="53"/>
      <c r="C22" s="29"/>
      <c r="D22" s="30"/>
      <c r="E22" s="29"/>
      <c r="F22" s="53"/>
      <c r="G22" s="30"/>
    </row>
    <row r="23" spans="1:7" ht="27" customHeight="1">
      <c r="A23" s="51" t="s">
        <v>180</v>
      </c>
      <c r="B23" s="22"/>
      <c r="C23" s="22"/>
      <c r="D23" s="22"/>
      <c r="E23" s="22"/>
      <c r="F23" s="22"/>
      <c r="G23" s="20"/>
    </row>
    <row r="24" spans="1:7" ht="27" customHeight="1">
      <c r="A24" s="31" t="s">
        <v>171</v>
      </c>
      <c r="B24" s="32"/>
      <c r="C24" s="31" t="s">
        <v>181</v>
      </c>
      <c r="D24" s="37"/>
      <c r="E24" s="37"/>
      <c r="F24" s="37"/>
      <c r="G24" s="32"/>
    </row>
    <row r="25" spans="1:7" ht="27" customHeight="1">
      <c r="A25" s="29" t="s">
        <v>182</v>
      </c>
      <c r="B25" s="30"/>
      <c r="C25" s="29"/>
      <c r="D25" s="53"/>
      <c r="E25" s="53"/>
      <c r="F25" s="53"/>
      <c r="G25" s="30"/>
    </row>
    <row r="26" spans="1:7" ht="27" customHeight="1">
      <c r="A26" s="29" t="s">
        <v>183</v>
      </c>
      <c r="B26" s="30"/>
      <c r="C26" s="29"/>
      <c r="D26" s="53"/>
      <c r="E26" s="53"/>
      <c r="F26" s="53"/>
      <c r="G26" s="30"/>
    </row>
    <row r="27" spans="1:7" ht="27" customHeight="1">
      <c r="A27" s="29" t="s">
        <v>184</v>
      </c>
      <c r="B27" s="30"/>
      <c r="C27" s="16"/>
      <c r="D27" s="54"/>
      <c r="E27" s="54"/>
      <c r="F27" s="54"/>
      <c r="G27" s="17"/>
    </row>
    <row r="28" spans="1:7" ht="27" customHeight="1">
      <c r="A28" s="29" t="s">
        <v>185</v>
      </c>
      <c r="B28" s="30"/>
      <c r="C28" s="29"/>
      <c r="D28" s="53"/>
      <c r="E28" s="53"/>
      <c r="F28" s="53"/>
      <c r="G28" s="30"/>
    </row>
    <row r="29" spans="1:7" ht="27" customHeight="1">
      <c r="A29" s="29" t="s">
        <v>186</v>
      </c>
      <c r="B29" s="30"/>
      <c r="C29" s="16"/>
      <c r="D29" s="54"/>
      <c r="E29" s="54"/>
      <c r="F29" s="54"/>
      <c r="G29" s="17"/>
    </row>
    <row r="30" spans="1:7" ht="27" customHeight="1">
      <c r="A30" s="29" t="s">
        <v>187</v>
      </c>
      <c r="B30" s="30"/>
      <c r="C30" s="16"/>
      <c r="D30" s="54"/>
      <c r="E30" s="54"/>
      <c r="F30" s="54"/>
      <c r="G30" s="17"/>
    </row>
    <row r="31" spans="1:7" ht="27" customHeight="1">
      <c r="A31" s="29" t="s">
        <v>188</v>
      </c>
      <c r="B31" s="30"/>
      <c r="C31" s="29"/>
      <c r="D31" s="53"/>
      <c r="E31" s="53"/>
      <c r="F31" s="53"/>
      <c r="G31" s="30"/>
    </row>
    <row r="32" spans="1:7" ht="20.100000000000001" customHeight="1">
      <c r="A32" s="58" t="s">
        <v>189</v>
      </c>
      <c r="B32" s="59"/>
      <c r="C32" s="59"/>
      <c r="D32" s="59"/>
      <c r="E32" s="59"/>
      <c r="F32" s="59"/>
      <c r="G32" s="60"/>
    </row>
    <row r="33" spans="1:7" ht="20.100000000000001" customHeight="1">
      <c r="A33" s="31" t="s">
        <v>190</v>
      </c>
      <c r="B33" s="37"/>
      <c r="C33" s="63"/>
      <c r="D33" s="31" t="s">
        <v>171</v>
      </c>
      <c r="E33" s="37"/>
      <c r="F33" s="37"/>
      <c r="G33" s="32"/>
    </row>
    <row r="34" spans="1:7" ht="21.95" customHeight="1">
      <c r="A34" s="61"/>
      <c r="B34" s="62"/>
      <c r="C34" s="64"/>
      <c r="D34" s="29"/>
      <c r="E34" s="53"/>
      <c r="F34" s="53"/>
      <c r="G34" s="30"/>
    </row>
    <row r="35" spans="1:7" ht="20.100000000000001" customHeight="1">
      <c r="A35" s="24" t="s">
        <v>191</v>
      </c>
      <c r="B35" s="22"/>
      <c r="C35" s="69"/>
      <c r="D35" s="22"/>
      <c r="E35" s="22"/>
      <c r="F35" s="22"/>
      <c r="G35" s="20"/>
    </row>
    <row r="36" spans="1:7" ht="46.5" customHeight="1">
      <c r="A36" s="14" t="s">
        <v>192</v>
      </c>
      <c r="B36" s="21"/>
      <c r="C36" s="22"/>
      <c r="D36" s="22"/>
      <c r="E36" s="22"/>
      <c r="F36" s="22"/>
      <c r="G36" s="20"/>
    </row>
    <row r="37" spans="1:7" ht="53.25" customHeight="1">
      <c r="A37" s="14" t="s">
        <v>193</v>
      </c>
      <c r="B37" s="21"/>
      <c r="C37" s="22"/>
      <c r="D37" s="22"/>
      <c r="E37" s="22"/>
      <c r="F37" s="22"/>
      <c r="G37" s="20"/>
    </row>
    <row r="38" spans="1:7" ht="20.25" customHeight="1">
      <c r="A38" s="24" t="s">
        <v>194</v>
      </c>
      <c r="B38" s="22"/>
      <c r="C38" s="22"/>
      <c r="D38" s="22"/>
      <c r="E38" s="22"/>
      <c r="F38" s="22"/>
      <c r="G38" s="20"/>
    </row>
    <row r="39" spans="1:7" ht="38.25" customHeight="1">
      <c r="A39" s="14" t="s">
        <v>195</v>
      </c>
      <c r="B39" s="21"/>
      <c r="C39" s="22"/>
      <c r="D39" s="22"/>
      <c r="E39" s="22"/>
      <c r="F39" s="22"/>
      <c r="G39" s="20"/>
    </row>
    <row r="40" spans="1:7" ht="58.5" customHeight="1">
      <c r="A40" s="14" t="s">
        <v>196</v>
      </c>
      <c r="B40" s="21"/>
      <c r="C40" s="22"/>
      <c r="D40" s="22"/>
      <c r="E40" s="22"/>
      <c r="F40" s="22"/>
      <c r="G40" s="20"/>
    </row>
    <row r="41" spans="1:7" ht="25.5" customHeight="1">
      <c r="A41" s="24" t="s">
        <v>197</v>
      </c>
      <c r="B41" s="22"/>
      <c r="C41" s="22"/>
      <c r="D41" s="22"/>
      <c r="E41" s="22"/>
      <c r="F41" s="22"/>
      <c r="G41" s="20"/>
    </row>
    <row r="42" spans="1:7" ht="20.100000000000001" customHeight="1">
      <c r="A42" s="50" t="s">
        <v>198</v>
      </c>
      <c r="B42" s="50" t="s">
        <v>199</v>
      </c>
      <c r="C42" s="50" t="s">
        <v>200</v>
      </c>
      <c r="D42" s="50" t="s">
        <v>201</v>
      </c>
      <c r="E42" s="31" t="s">
        <v>202</v>
      </c>
      <c r="F42" s="37"/>
      <c r="G42" s="32"/>
    </row>
    <row r="43" spans="1:7" ht="26.25" customHeight="1">
      <c r="A43" s="15"/>
      <c r="B43" s="15"/>
      <c r="C43" s="15"/>
      <c r="D43" s="15"/>
      <c r="E43" s="29"/>
      <c r="F43" s="53"/>
      <c r="G43" s="30"/>
    </row>
    <row r="44" spans="1:7" ht="20.100000000000001" customHeight="1">
      <c r="A44" s="15"/>
      <c r="B44" s="15"/>
      <c r="C44" s="15"/>
      <c r="D44" s="15"/>
      <c r="E44" s="29"/>
      <c r="F44" s="53"/>
      <c r="G44" s="30"/>
    </row>
    <row r="45" spans="1:7" ht="20.100000000000001" customHeight="1">
      <c r="A45" s="15"/>
      <c r="B45" s="15"/>
      <c r="C45" s="15"/>
      <c r="D45" s="15"/>
      <c r="E45" s="29"/>
      <c r="F45" s="53"/>
      <c r="G45" s="30"/>
    </row>
    <row r="46" spans="1:7" ht="20.100000000000001" customHeight="1">
      <c r="A46" s="15"/>
      <c r="B46" s="15"/>
      <c r="C46" s="15"/>
      <c r="D46" s="15"/>
      <c r="E46" s="29"/>
      <c r="F46" s="53"/>
      <c r="G46" s="30"/>
    </row>
    <row r="47" spans="1:7" ht="20.100000000000001" customHeight="1">
      <c r="A47" s="15"/>
      <c r="B47" s="15"/>
      <c r="C47" s="15"/>
      <c r="D47" s="15"/>
      <c r="E47" s="29"/>
      <c r="F47" s="53"/>
      <c r="G47" s="30"/>
    </row>
    <row r="48" spans="1:7" ht="20.100000000000001" customHeight="1">
      <c r="A48" s="15"/>
      <c r="B48" s="15"/>
      <c r="C48" s="15"/>
      <c r="D48" s="15"/>
      <c r="E48" s="29"/>
      <c r="F48" s="53"/>
      <c r="G48" s="30"/>
    </row>
  </sheetData>
  <mergeCells count="68">
    <mergeCell ref="C22:D22"/>
    <mergeCell ref="E16:G16"/>
    <mergeCell ref="E17:G17"/>
    <mergeCell ref="E18:G18"/>
    <mergeCell ref="E19:G19"/>
    <mergeCell ref="E20:G20"/>
    <mergeCell ref="E21:G21"/>
    <mergeCell ref="E22:G22"/>
    <mergeCell ref="C16:D16"/>
    <mergeCell ref="C17:D17"/>
    <mergeCell ref="C18:D18"/>
    <mergeCell ref="C19:D19"/>
    <mergeCell ref="C20:D20"/>
    <mergeCell ref="C21:D21"/>
    <mergeCell ref="A30:B30"/>
    <mergeCell ref="A31:B31"/>
    <mergeCell ref="C24:G24"/>
    <mergeCell ref="A16:B16"/>
    <mergeCell ref="A17:B17"/>
    <mergeCell ref="A18:B18"/>
    <mergeCell ref="A19:B19"/>
    <mergeCell ref="A22:B22"/>
    <mergeCell ref="A21:B21"/>
    <mergeCell ref="A20:B20"/>
    <mergeCell ref="A24:B24"/>
    <mergeCell ref="A25:B25"/>
    <mergeCell ref="A26:B26"/>
    <mergeCell ref="A27:B27"/>
    <mergeCell ref="A28:B28"/>
    <mergeCell ref="A29:B29"/>
    <mergeCell ref="E42:G42"/>
    <mergeCell ref="E43:G43"/>
    <mergeCell ref="E45:G45"/>
    <mergeCell ref="C31:G31"/>
    <mergeCell ref="A15:G15"/>
    <mergeCell ref="A23:G23"/>
    <mergeCell ref="A38:G38"/>
    <mergeCell ref="D33:G33"/>
    <mergeCell ref="A33:C33"/>
    <mergeCell ref="D34:G34"/>
    <mergeCell ref="C25:G25"/>
    <mergeCell ref="C26:G26"/>
    <mergeCell ref="C28:G28"/>
    <mergeCell ref="E44:G44"/>
    <mergeCell ref="E46:G46"/>
    <mergeCell ref="E47:G47"/>
    <mergeCell ref="E48:G48"/>
    <mergeCell ref="A41:G41"/>
    <mergeCell ref="B37:G37"/>
    <mergeCell ref="B39:G39"/>
    <mergeCell ref="B40:G40"/>
    <mergeCell ref="A14:G14"/>
    <mergeCell ref="A32:G32"/>
    <mergeCell ref="A35:G35"/>
    <mergeCell ref="B36:G36"/>
    <mergeCell ref="B10:G10"/>
    <mergeCell ref="B11:G11"/>
    <mergeCell ref="B12:G12"/>
    <mergeCell ref="B13:G13"/>
    <mergeCell ref="B5:G5"/>
    <mergeCell ref="B6:G6"/>
    <mergeCell ref="B7:G7"/>
    <mergeCell ref="B8:G8"/>
    <mergeCell ref="A9:G9"/>
    <mergeCell ref="A1:G1"/>
    <mergeCell ref="A2:G2"/>
    <mergeCell ref="B3:G3"/>
    <mergeCell ref="B4:G4"/>
  </mergeCells>
  <dataValidations count="2">
    <dataValidation type="list" allowBlank="1" showInputMessage="1" showErrorMessage="1" sqref="B6:G6" xr:uid="{714B0EEE-5F6E-47F6-9EA8-F6B921DA88D7}">
      <formula1>"GenAI,ML"</formula1>
    </dataValidation>
    <dataValidation type="list" allowBlank="1" showInputMessage="1" showErrorMessage="1" sqref="B8:G8" xr:uid="{AF8081ED-985D-4A38-888C-95E3FC47D4A4}">
      <formula1>"PoC,Production"</formula1>
    </dataValidation>
  </dataValidations>
  <pageMargins left="0.5" right="0.5" top="0.5" bottom="0.5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9294-87EE-49C1-97D6-562FD2445B68}">
  <sheetPr>
    <pageSetUpPr fitToPage="1"/>
  </sheetPr>
  <dimension ref="A1:E42"/>
  <sheetViews>
    <sheetView workbookViewId="0">
      <pane ySplit="1" topLeftCell="A58" activePane="bottomLeft" state="frozen"/>
      <selection pane="bottomLeft" activeCell="C39" sqref="C39"/>
    </sheetView>
  </sheetViews>
  <sheetFormatPr defaultRowHeight="15"/>
  <cols>
    <col min="1" max="1" width="46" customWidth="1"/>
    <col min="2" max="2" width="20" customWidth="1"/>
    <col min="3" max="3" width="28" customWidth="1"/>
    <col min="4" max="5" width="22" customWidth="1"/>
  </cols>
  <sheetData>
    <row r="1" spans="1:5" ht="36" customHeight="1">
      <c r="A1" s="23" t="s">
        <v>203</v>
      </c>
      <c r="B1" s="22"/>
      <c r="C1" s="22"/>
      <c r="D1" s="22"/>
      <c r="E1" s="20"/>
    </row>
    <row r="2" spans="1:5" ht="21.95" customHeight="1">
      <c r="A2" s="24" t="s">
        <v>204</v>
      </c>
      <c r="B2" s="22"/>
      <c r="C2" s="22"/>
      <c r="D2" s="22"/>
      <c r="E2" s="20"/>
    </row>
    <row r="3" spans="1:5" ht="30.75" customHeight="1">
      <c r="A3" s="25" t="s">
        <v>205</v>
      </c>
      <c r="B3" s="20"/>
      <c r="C3" s="13" t="s">
        <v>206</v>
      </c>
      <c r="D3" s="31" t="s">
        <v>76</v>
      </c>
      <c r="E3" s="32"/>
    </row>
    <row r="4" spans="1:5" ht="21.95" customHeight="1">
      <c r="A4" s="26" t="s">
        <v>207</v>
      </c>
      <c r="B4" s="20"/>
      <c r="C4" s="15"/>
      <c r="D4" s="29"/>
      <c r="E4" s="30"/>
    </row>
    <row r="5" spans="1:5" ht="21.95" customHeight="1">
      <c r="A5" s="26" t="s">
        <v>208</v>
      </c>
      <c r="B5" s="20"/>
      <c r="C5" s="15"/>
      <c r="D5" s="29"/>
      <c r="E5" s="30"/>
    </row>
    <row r="6" spans="1:5" ht="21.95" customHeight="1">
      <c r="A6" s="26" t="s">
        <v>209</v>
      </c>
      <c r="B6" s="20"/>
      <c r="C6" s="15"/>
      <c r="D6" s="29"/>
      <c r="E6" s="30"/>
    </row>
    <row r="7" spans="1:5" ht="21.95" customHeight="1">
      <c r="A7" s="26" t="s">
        <v>210</v>
      </c>
      <c r="B7" s="20"/>
      <c r="C7" s="15"/>
      <c r="D7" s="29"/>
      <c r="E7" s="30"/>
    </row>
    <row r="8" spans="1:5" ht="21.95" customHeight="1">
      <c r="A8" s="26" t="s">
        <v>211</v>
      </c>
      <c r="B8" s="20"/>
      <c r="C8" s="15"/>
      <c r="D8" s="29"/>
      <c r="E8" s="30"/>
    </row>
    <row r="9" spans="1:5" ht="21.95" customHeight="1">
      <c r="A9" s="26" t="s">
        <v>212</v>
      </c>
      <c r="B9" s="20"/>
      <c r="C9" s="15"/>
      <c r="D9" s="29"/>
      <c r="E9" s="30"/>
    </row>
    <row r="10" spans="1:5" ht="21.95" customHeight="1">
      <c r="A10" s="26" t="s">
        <v>213</v>
      </c>
      <c r="B10" s="20"/>
      <c r="C10" s="15"/>
      <c r="D10" s="29"/>
      <c r="E10" s="30"/>
    </row>
    <row r="11" spans="1:5" ht="21.95" customHeight="1">
      <c r="A11" s="26" t="s">
        <v>214</v>
      </c>
      <c r="B11" s="20"/>
      <c r="C11" s="15"/>
      <c r="D11" s="29"/>
      <c r="E11" s="30"/>
    </row>
    <row r="12" spans="1:5" ht="21.95" customHeight="1">
      <c r="A12" s="25" t="s">
        <v>215</v>
      </c>
      <c r="B12" s="20"/>
      <c r="C12" s="13" t="s">
        <v>60</v>
      </c>
      <c r="D12" s="31" t="s">
        <v>76</v>
      </c>
      <c r="E12" s="32"/>
    </row>
    <row r="13" spans="1:5" ht="21.95" customHeight="1">
      <c r="A13" s="24" t="s">
        <v>35</v>
      </c>
      <c r="B13" s="22"/>
      <c r="C13" s="22"/>
      <c r="D13" s="22"/>
      <c r="E13" s="20"/>
    </row>
    <row r="14" spans="1:5" ht="27.95" customHeight="1">
      <c r="A14" s="26" t="s">
        <v>216</v>
      </c>
      <c r="B14" s="20"/>
      <c r="C14" s="15"/>
      <c r="D14" s="21"/>
      <c r="E14" s="20"/>
    </row>
    <row r="15" spans="1:5" ht="27.95" customHeight="1">
      <c r="A15" s="26" t="s">
        <v>217</v>
      </c>
      <c r="B15" s="20"/>
      <c r="C15" s="15"/>
      <c r="D15" s="21"/>
      <c r="E15" s="20"/>
    </row>
    <row r="16" spans="1:5" ht="21.95" customHeight="1">
      <c r="A16" s="24" t="s">
        <v>218</v>
      </c>
      <c r="B16" s="22"/>
      <c r="C16" s="22"/>
      <c r="D16" s="22"/>
      <c r="E16" s="20"/>
    </row>
    <row r="17" spans="1:5" ht="43.5" customHeight="1">
      <c r="A17" s="26" t="s">
        <v>219</v>
      </c>
      <c r="B17" s="20"/>
      <c r="C17" s="15"/>
      <c r="D17" s="21"/>
      <c r="E17" s="20"/>
    </row>
    <row r="18" spans="1:5" ht="21.95" customHeight="1">
      <c r="A18" s="24" t="s">
        <v>220</v>
      </c>
      <c r="B18" s="22"/>
      <c r="C18" s="22"/>
      <c r="D18" s="22"/>
      <c r="E18" s="20"/>
    </row>
    <row r="19" spans="1:5" ht="27.95" customHeight="1">
      <c r="A19" s="26" t="s">
        <v>221</v>
      </c>
      <c r="B19" s="20"/>
      <c r="C19" s="15"/>
      <c r="D19" s="21"/>
      <c r="E19" s="20"/>
    </row>
    <row r="20" spans="1:5" ht="34.5" customHeight="1">
      <c r="A20" s="26" t="s">
        <v>222</v>
      </c>
      <c r="B20" s="20"/>
      <c r="C20" s="15"/>
      <c r="D20" s="21"/>
      <c r="E20" s="20"/>
    </row>
    <row r="21" spans="1:5" ht="21.95" customHeight="1">
      <c r="A21" s="24" t="s">
        <v>47</v>
      </c>
      <c r="B21" s="22"/>
      <c r="C21" s="22"/>
      <c r="D21" s="22"/>
      <c r="E21" s="20"/>
    </row>
    <row r="22" spans="1:5" ht="27.95" customHeight="1">
      <c r="A22" s="26" t="s">
        <v>223</v>
      </c>
      <c r="B22" s="20"/>
      <c r="C22" s="15"/>
      <c r="D22" s="21"/>
      <c r="E22" s="20"/>
    </row>
    <row r="23" spans="1:5" ht="37.5" customHeight="1">
      <c r="A23" s="26" t="s">
        <v>224</v>
      </c>
      <c r="B23" s="20"/>
      <c r="C23" s="15"/>
      <c r="D23" s="21"/>
      <c r="E23" s="20"/>
    </row>
    <row r="24" spans="1:5" ht="27.95" customHeight="1">
      <c r="A24" s="26" t="s">
        <v>225</v>
      </c>
      <c r="B24" s="20"/>
      <c r="C24" s="15"/>
      <c r="D24" s="21"/>
      <c r="E24" s="20"/>
    </row>
    <row r="25" spans="1:5" ht="21.95" customHeight="1">
      <c r="A25" s="24" t="s">
        <v>51</v>
      </c>
      <c r="B25" s="22"/>
      <c r="C25" s="22"/>
      <c r="D25" s="22"/>
      <c r="E25" s="20"/>
    </row>
    <row r="26" spans="1:5" ht="27.95" customHeight="1">
      <c r="A26" s="26" t="s">
        <v>226</v>
      </c>
      <c r="B26" s="20"/>
      <c r="C26" s="15"/>
      <c r="D26" s="21"/>
      <c r="E26" s="20"/>
    </row>
    <row r="27" spans="1:5" ht="27.95" customHeight="1">
      <c r="A27" s="26" t="s">
        <v>227</v>
      </c>
      <c r="B27" s="20"/>
      <c r="C27" s="15"/>
      <c r="D27" s="21"/>
      <c r="E27" s="20"/>
    </row>
    <row r="28" spans="1:5" ht="27.95" customHeight="1">
      <c r="A28" s="26" t="s">
        <v>228</v>
      </c>
      <c r="B28" s="20"/>
      <c r="C28" s="15"/>
      <c r="D28" s="21"/>
      <c r="E28" s="20"/>
    </row>
    <row r="29" spans="1:5" ht="21.95" customHeight="1">
      <c r="A29" s="24" t="s">
        <v>229</v>
      </c>
      <c r="B29" s="22"/>
      <c r="C29" s="22"/>
      <c r="D29" s="22"/>
      <c r="E29" s="20"/>
    </row>
    <row r="30" spans="1:5" ht="33.75" customHeight="1">
      <c r="A30" s="26" t="s">
        <v>230</v>
      </c>
      <c r="B30" s="20"/>
      <c r="C30" s="15"/>
      <c r="D30" s="21"/>
      <c r="E30" s="20"/>
    </row>
    <row r="31" spans="1:5" ht="27.95" customHeight="1">
      <c r="A31" s="26" t="s">
        <v>231</v>
      </c>
      <c r="B31" s="20"/>
      <c r="C31" s="15"/>
      <c r="D31" s="21"/>
      <c r="E31" s="20"/>
    </row>
    <row r="32" spans="1:5" ht="27.95" customHeight="1">
      <c r="A32" s="26" t="s">
        <v>232</v>
      </c>
      <c r="B32" s="20"/>
      <c r="C32" s="15"/>
      <c r="D32" s="21"/>
      <c r="E32" s="20"/>
    </row>
    <row r="33" spans="1:5" ht="21.95" customHeight="1">
      <c r="A33" s="24" t="s">
        <v>233</v>
      </c>
      <c r="B33" s="22"/>
      <c r="C33" s="22"/>
      <c r="D33" s="22"/>
      <c r="E33" s="20"/>
    </row>
    <row r="34" spans="1:5" ht="42.75" customHeight="1">
      <c r="A34" s="26" t="s">
        <v>234</v>
      </c>
      <c r="B34" s="20"/>
      <c r="C34" s="15"/>
      <c r="D34" s="21"/>
      <c r="E34" s="20"/>
    </row>
    <row r="35" spans="1:5" ht="34.5" customHeight="1">
      <c r="A35" s="26" t="s">
        <v>235</v>
      </c>
      <c r="B35" s="20"/>
      <c r="C35" s="15"/>
      <c r="D35" s="21"/>
      <c r="E35" s="20"/>
    </row>
    <row r="36" spans="1:5" ht="21.95" customHeight="1">
      <c r="A36" s="24" t="s">
        <v>236</v>
      </c>
      <c r="B36" s="22"/>
      <c r="C36" s="22"/>
      <c r="D36" s="22"/>
      <c r="E36" s="20"/>
    </row>
    <row r="37" spans="1:5" ht="39.75" customHeight="1">
      <c r="A37" s="26" t="s">
        <v>237</v>
      </c>
      <c r="B37" s="20"/>
      <c r="C37" s="15"/>
      <c r="D37" s="21"/>
      <c r="E37" s="20"/>
    </row>
    <row r="38" spans="1:5" ht="43.5" customHeight="1">
      <c r="A38" s="26" t="s">
        <v>238</v>
      </c>
      <c r="B38" s="20"/>
      <c r="C38" s="15"/>
      <c r="D38" s="21"/>
      <c r="E38" s="20"/>
    </row>
    <row r="39" spans="1:5" ht="27.95" customHeight="1">
      <c r="A39" s="26" t="s">
        <v>239</v>
      </c>
      <c r="B39" s="20"/>
      <c r="C39" s="15"/>
      <c r="D39" s="21"/>
      <c r="E39" s="20"/>
    </row>
    <row r="40" spans="1:5" ht="21.95" customHeight="1">
      <c r="A40" s="40" t="s">
        <v>91</v>
      </c>
      <c r="B40" s="41"/>
      <c r="C40" s="41"/>
      <c r="D40" s="41"/>
      <c r="E40" s="41"/>
    </row>
    <row r="41" spans="1:5" ht="30" customHeight="1">
      <c r="A41" s="5" t="s">
        <v>240</v>
      </c>
      <c r="B41" s="6"/>
      <c r="C41" s="6"/>
      <c r="D41" s="6"/>
      <c r="E41" s="6"/>
    </row>
    <row r="42" spans="1:5">
      <c r="A42" s="42" t="str">
        <f>IF(OR(COUNTIF(C4:C11,"No")&gt;0,COUNTIF(C14:C39,"Issue Found")&gt;0),"Not Ready for Deployment/Risk-Accepted to Deploy","Ready for Deployment")</f>
        <v>Ready for Deployment</v>
      </c>
      <c r="B42" s="43"/>
      <c r="C42" s="43"/>
      <c r="D42" s="43"/>
      <c r="E42" s="43"/>
    </row>
  </sheetData>
  <mergeCells count="70">
    <mergeCell ref="D7:E7"/>
    <mergeCell ref="D8:E8"/>
    <mergeCell ref="D9:E9"/>
    <mergeCell ref="D10:E10"/>
    <mergeCell ref="D11:E11"/>
    <mergeCell ref="D12:E12"/>
    <mergeCell ref="A40:E40"/>
    <mergeCell ref="A42:E42"/>
    <mergeCell ref="A39:B39"/>
    <mergeCell ref="D39:E39"/>
    <mergeCell ref="A36:E36"/>
    <mergeCell ref="A37:B37"/>
    <mergeCell ref="D37:E37"/>
    <mergeCell ref="A38:B38"/>
    <mergeCell ref="D38:E38"/>
    <mergeCell ref="A32:B32"/>
    <mergeCell ref="D32:E32"/>
    <mergeCell ref="A33:E33"/>
    <mergeCell ref="A34:B34"/>
    <mergeCell ref="D34:E34"/>
    <mergeCell ref="A35:B35"/>
    <mergeCell ref="D35:E35"/>
    <mergeCell ref="A28:B28"/>
    <mergeCell ref="D28:E28"/>
    <mergeCell ref="A29:E29"/>
    <mergeCell ref="A30:B30"/>
    <mergeCell ref="D30:E30"/>
    <mergeCell ref="A31:B31"/>
    <mergeCell ref="D31:E31"/>
    <mergeCell ref="A24:B24"/>
    <mergeCell ref="D24:E24"/>
    <mergeCell ref="A25:E25"/>
    <mergeCell ref="A26:B26"/>
    <mergeCell ref="D26:E26"/>
    <mergeCell ref="A27:B27"/>
    <mergeCell ref="D27:E27"/>
    <mergeCell ref="A21:E21"/>
    <mergeCell ref="A22:B22"/>
    <mergeCell ref="D22:E22"/>
    <mergeCell ref="A23:B23"/>
    <mergeCell ref="D23:E23"/>
    <mergeCell ref="A18:E18"/>
    <mergeCell ref="A19:B19"/>
    <mergeCell ref="D19:E19"/>
    <mergeCell ref="A20:B20"/>
    <mergeCell ref="D20:E20"/>
    <mergeCell ref="A15:B15"/>
    <mergeCell ref="D15:E15"/>
    <mergeCell ref="A16:E16"/>
    <mergeCell ref="A17:B17"/>
    <mergeCell ref="D17:E17"/>
    <mergeCell ref="A11:B11"/>
    <mergeCell ref="A12:B12"/>
    <mergeCell ref="A13:E13"/>
    <mergeCell ref="A14:B14"/>
    <mergeCell ref="D14:E14"/>
    <mergeCell ref="A5:B5"/>
    <mergeCell ref="A6:B6"/>
    <mergeCell ref="A7:B7"/>
    <mergeCell ref="A8:B8"/>
    <mergeCell ref="A9:B9"/>
    <mergeCell ref="A10:B10"/>
    <mergeCell ref="A2:E2"/>
    <mergeCell ref="A3:B3"/>
    <mergeCell ref="A4:B4"/>
    <mergeCell ref="D3:E3"/>
    <mergeCell ref="D4:E4"/>
    <mergeCell ref="D5:E5"/>
    <mergeCell ref="D6:E6"/>
    <mergeCell ref="A1:E1"/>
  </mergeCells>
  <conditionalFormatting sqref="A42">
    <cfRule type="expression" dxfId="1" priority="2">
      <formula>A42:B42="Not Compliant"</formula>
    </cfRule>
  </conditionalFormatting>
  <conditionalFormatting sqref="A42">
    <cfRule type="expression" dxfId="0" priority="1">
      <formula>A17:A38="Compliant"</formula>
    </cfRule>
  </conditionalFormatting>
  <dataValidations count="2">
    <dataValidation type="list" allowBlank="1" showInputMessage="1" showErrorMessage="1" sqref="C4:C11" xr:uid="{B04633C2-9B83-4B56-B80A-CA2388C7BCD6}">
      <formula1>"Yes,No"</formula1>
    </dataValidation>
    <dataValidation type="list" allowBlank="1" showInputMessage="1" showErrorMessage="1" sqref="C14:C15 C17 C19:C20 C22:C24 C26:C28 C30:C32 C34:C35 C37:C39" xr:uid="{1923967D-3F02-4C35-955F-9EE757C04F8A}">
      <formula1>"Verfiied,Issue Found,Not Applicable"</formula1>
    </dataValidation>
  </dataValidations>
  <pageMargins left="0.5" right="0.5" top="0.5" bottom="0.5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3F6E-4C39-42A9-8DBB-099C07E7C255}">
  <sheetPr>
    <pageSetUpPr fitToPage="1"/>
  </sheetPr>
  <dimension ref="A1:F59"/>
  <sheetViews>
    <sheetView tabSelected="1" workbookViewId="0">
      <pane ySplit="1" topLeftCell="A27" activePane="bottomLeft" state="frozen"/>
      <selection pane="bottomLeft" activeCell="A33" sqref="A33:F33"/>
    </sheetView>
  </sheetViews>
  <sheetFormatPr defaultRowHeight="15"/>
  <cols>
    <col min="1" max="1" width="42" customWidth="1"/>
    <col min="2" max="3" width="16" customWidth="1"/>
    <col min="4" max="4" width="26" customWidth="1"/>
    <col min="5" max="5" width="20" customWidth="1"/>
    <col min="6" max="6" width="18" customWidth="1"/>
  </cols>
  <sheetData>
    <row r="1" spans="1:6" ht="36" customHeight="1">
      <c r="A1" s="48" t="s">
        <v>241</v>
      </c>
      <c r="B1" s="22"/>
      <c r="C1" s="22"/>
      <c r="D1" s="22"/>
      <c r="E1" s="22"/>
      <c r="F1" s="20"/>
    </row>
    <row r="2" spans="1:6" ht="21.95" customHeight="1">
      <c r="A2" s="24" t="s">
        <v>62</v>
      </c>
      <c r="B2" s="22"/>
      <c r="C2" s="22"/>
      <c r="D2" s="22"/>
      <c r="E2" s="22"/>
      <c r="F2" s="20"/>
    </row>
    <row r="3" spans="1:6" ht="18" customHeight="1">
      <c r="A3" s="19" t="s">
        <v>2</v>
      </c>
      <c r="B3" s="22"/>
      <c r="C3" s="20"/>
      <c r="D3" s="21"/>
      <c r="E3" s="22"/>
      <c r="F3" s="20"/>
    </row>
    <row r="4" spans="1:6" ht="27.95" customHeight="1">
      <c r="A4" s="33" t="s">
        <v>242</v>
      </c>
      <c r="B4" s="22"/>
      <c r="C4" s="22"/>
      <c r="D4" s="22"/>
      <c r="E4" s="22"/>
      <c r="F4" s="20"/>
    </row>
    <row r="5" spans="1:6" ht="21.95" customHeight="1">
      <c r="A5" s="25" t="s">
        <v>243</v>
      </c>
      <c r="B5" s="22"/>
      <c r="C5" s="20"/>
      <c r="D5" s="13" t="s">
        <v>60</v>
      </c>
      <c r="E5" s="13" t="s">
        <v>244</v>
      </c>
      <c r="F5" s="13" t="s">
        <v>76</v>
      </c>
    </row>
    <row r="6" spans="1:6" ht="21.95" customHeight="1">
      <c r="A6" s="24" t="s">
        <v>245</v>
      </c>
      <c r="B6" s="22"/>
      <c r="C6" s="22"/>
      <c r="D6" s="22"/>
      <c r="E6" s="22"/>
      <c r="F6" s="20"/>
    </row>
    <row r="7" spans="1:6" ht="27.95" customHeight="1">
      <c r="A7" s="26" t="s">
        <v>246</v>
      </c>
      <c r="B7" s="22"/>
      <c r="C7" s="20"/>
      <c r="D7" s="15"/>
      <c r="E7" s="52"/>
      <c r="F7" s="12"/>
    </row>
    <row r="8" spans="1:6" ht="27.95" customHeight="1">
      <c r="A8" s="34" t="s">
        <v>247</v>
      </c>
      <c r="B8" s="35"/>
      <c r="C8" s="36"/>
      <c r="D8" s="15"/>
      <c r="E8" s="52"/>
      <c r="F8" s="12"/>
    </row>
    <row r="9" spans="1:6" ht="27.95" customHeight="1">
      <c r="A9" s="34" t="s">
        <v>248</v>
      </c>
      <c r="B9" s="35"/>
      <c r="C9" s="36"/>
      <c r="D9" s="15"/>
      <c r="E9" s="52"/>
      <c r="F9" s="12"/>
    </row>
    <row r="10" spans="1:6" ht="21.95" customHeight="1">
      <c r="A10" s="58" t="s">
        <v>249</v>
      </c>
      <c r="B10" s="59"/>
      <c r="C10" s="59"/>
      <c r="D10" s="59"/>
      <c r="E10" s="59"/>
      <c r="F10" s="60"/>
    </row>
    <row r="11" spans="1:6" ht="27.95" customHeight="1">
      <c r="A11" s="34" t="s">
        <v>250</v>
      </c>
      <c r="B11" s="35"/>
      <c r="C11" s="36"/>
      <c r="D11" s="15"/>
      <c r="E11" s="67"/>
      <c r="F11" s="68"/>
    </row>
    <row r="12" spans="1:6" ht="27.95" customHeight="1">
      <c r="A12" s="34" t="s">
        <v>251</v>
      </c>
      <c r="B12" s="35"/>
      <c r="C12" s="36"/>
      <c r="D12" s="15"/>
      <c r="E12" s="67"/>
      <c r="F12" s="68"/>
    </row>
    <row r="13" spans="1:6" ht="21.95" customHeight="1">
      <c r="A13" s="58" t="s">
        <v>252</v>
      </c>
      <c r="B13" s="59"/>
      <c r="C13" s="59"/>
      <c r="D13" s="59"/>
      <c r="E13" s="59"/>
      <c r="F13" s="60"/>
    </row>
    <row r="14" spans="1:6" ht="27.95" customHeight="1">
      <c r="A14" s="34" t="s">
        <v>253</v>
      </c>
      <c r="B14" s="35"/>
      <c r="C14" s="36"/>
      <c r="D14" s="15"/>
      <c r="E14" s="67"/>
      <c r="F14" s="68"/>
    </row>
    <row r="15" spans="1:6" ht="27.95" customHeight="1">
      <c r="A15" s="34" t="s">
        <v>254</v>
      </c>
      <c r="B15" s="35"/>
      <c r="C15" s="36"/>
      <c r="D15" s="15"/>
      <c r="E15" s="67"/>
      <c r="F15" s="68"/>
    </row>
    <row r="16" spans="1:6" ht="21.95" customHeight="1">
      <c r="A16" s="58" t="s">
        <v>255</v>
      </c>
      <c r="B16" s="59"/>
      <c r="C16" s="59"/>
      <c r="D16" s="59"/>
      <c r="E16" s="59"/>
      <c r="F16" s="60"/>
    </row>
    <row r="17" spans="1:6" ht="27.95" customHeight="1">
      <c r="A17" s="34" t="s">
        <v>256</v>
      </c>
      <c r="B17" s="35"/>
      <c r="C17" s="36"/>
      <c r="D17" s="15"/>
      <c r="E17" s="67"/>
      <c r="F17" s="68"/>
    </row>
    <row r="18" spans="1:6" ht="27.95" customHeight="1">
      <c r="A18" s="34" t="s">
        <v>257</v>
      </c>
      <c r="B18" s="35"/>
      <c r="C18" s="36"/>
      <c r="D18" s="15"/>
      <c r="E18" s="67"/>
      <c r="F18" s="68"/>
    </row>
    <row r="19" spans="1:6" ht="27.95" customHeight="1">
      <c r="A19" s="34" t="s">
        <v>258</v>
      </c>
      <c r="B19" s="35"/>
      <c r="C19" s="36"/>
      <c r="D19" s="15"/>
      <c r="E19" s="67"/>
      <c r="F19" s="68"/>
    </row>
    <row r="20" spans="1:6" ht="21.95" customHeight="1">
      <c r="A20" s="58" t="s">
        <v>259</v>
      </c>
      <c r="B20" s="59"/>
      <c r="C20" s="59"/>
      <c r="D20" s="59"/>
      <c r="E20" s="59"/>
      <c r="F20" s="60"/>
    </row>
    <row r="21" spans="1:6" ht="27.95" customHeight="1">
      <c r="A21" s="34" t="s">
        <v>260</v>
      </c>
      <c r="B21" s="35"/>
      <c r="C21" s="36"/>
      <c r="D21" s="15"/>
      <c r="E21" s="67"/>
      <c r="F21" s="68"/>
    </row>
    <row r="22" spans="1:6" ht="27.95" customHeight="1">
      <c r="A22" s="34" t="s">
        <v>261</v>
      </c>
      <c r="B22" s="35"/>
      <c r="C22" s="36"/>
      <c r="D22" s="15"/>
      <c r="E22" s="67"/>
      <c r="F22" s="68"/>
    </row>
    <row r="23" spans="1:6" ht="27.95" customHeight="1">
      <c r="A23" s="34" t="s">
        <v>262</v>
      </c>
      <c r="B23" s="35"/>
      <c r="C23" s="36"/>
      <c r="D23" s="15"/>
      <c r="E23" s="67"/>
      <c r="F23" s="68"/>
    </row>
    <row r="24" spans="1:6" ht="21.95" customHeight="1">
      <c r="A24" s="58" t="s">
        <v>263</v>
      </c>
      <c r="B24" s="59"/>
      <c r="C24" s="59"/>
      <c r="D24" s="59"/>
      <c r="E24" s="59"/>
      <c r="F24" s="60"/>
    </row>
    <row r="25" spans="1:6" ht="27.95" customHeight="1">
      <c r="A25" s="34" t="s">
        <v>264</v>
      </c>
      <c r="B25" s="35"/>
      <c r="C25" s="36"/>
      <c r="D25" s="15"/>
      <c r="E25" s="67"/>
      <c r="F25" s="68"/>
    </row>
    <row r="26" spans="1:6" ht="40.5" customHeight="1">
      <c r="A26" s="34" t="s">
        <v>265</v>
      </c>
      <c r="B26" s="35"/>
      <c r="C26" s="36"/>
      <c r="D26" s="15"/>
      <c r="E26" s="67"/>
      <c r="F26" s="68"/>
    </row>
    <row r="27" spans="1:6" ht="21.95" customHeight="1">
      <c r="A27" s="58" t="s">
        <v>266</v>
      </c>
      <c r="B27" s="59"/>
      <c r="C27" s="59"/>
      <c r="D27" s="59"/>
      <c r="E27" s="59"/>
      <c r="F27" s="60"/>
    </row>
    <row r="28" spans="1:6" ht="33.75" customHeight="1">
      <c r="A28" s="34" t="s">
        <v>267</v>
      </c>
      <c r="B28" s="35"/>
      <c r="C28" s="36"/>
      <c r="D28" s="15"/>
      <c r="E28" s="67"/>
      <c r="F28" s="68"/>
    </row>
    <row r="29" spans="1:6" ht="21.95" customHeight="1">
      <c r="A29" s="58" t="s">
        <v>268</v>
      </c>
      <c r="B29" s="59"/>
      <c r="C29" s="59"/>
      <c r="D29" s="59"/>
      <c r="E29" s="59"/>
      <c r="F29" s="60"/>
    </row>
    <row r="30" spans="1:6" ht="27.95" customHeight="1">
      <c r="A30" s="34" t="s">
        <v>269</v>
      </c>
      <c r="B30" s="35"/>
      <c r="C30" s="36"/>
      <c r="D30" s="15"/>
      <c r="E30" s="67"/>
      <c r="F30" s="68"/>
    </row>
    <row r="31" spans="1:6" ht="21.95" customHeight="1">
      <c r="A31" s="58" t="s">
        <v>270</v>
      </c>
      <c r="B31" s="59"/>
      <c r="C31" s="59"/>
      <c r="D31" s="59"/>
      <c r="E31" s="59"/>
      <c r="F31" s="60"/>
    </row>
    <row r="32" spans="1:6" ht="34.5" customHeight="1">
      <c r="A32" s="34" t="s">
        <v>271</v>
      </c>
      <c r="B32" s="35"/>
      <c r="C32" s="36"/>
      <c r="D32" s="15"/>
      <c r="E32" s="67"/>
      <c r="F32" s="68"/>
    </row>
    <row r="33" spans="1:6" ht="27.95" customHeight="1">
      <c r="A33" s="27" t="s">
        <v>272</v>
      </c>
      <c r="B33" s="22"/>
      <c r="C33" s="22"/>
      <c r="D33" s="22"/>
      <c r="E33" s="22"/>
      <c r="F33" s="20"/>
    </row>
    <row r="34" spans="1:6" ht="21.95" customHeight="1">
      <c r="A34" s="24" t="s">
        <v>273</v>
      </c>
      <c r="B34" s="22"/>
      <c r="C34" s="22"/>
      <c r="D34" s="22"/>
      <c r="E34" s="22"/>
      <c r="F34" s="20"/>
    </row>
    <row r="35" spans="1:6" ht="21.95" customHeight="1">
      <c r="A35" s="13" t="s">
        <v>274</v>
      </c>
      <c r="B35" s="13" t="s">
        <v>275</v>
      </c>
      <c r="C35" s="13" t="s">
        <v>276</v>
      </c>
      <c r="D35" s="13" t="s">
        <v>277</v>
      </c>
      <c r="E35" s="13" t="s">
        <v>278</v>
      </c>
      <c r="F35" s="13" t="s">
        <v>279</v>
      </c>
    </row>
    <row r="36" spans="1:6" ht="39" customHeight="1">
      <c r="A36" s="15" t="s">
        <v>280</v>
      </c>
      <c r="B36" s="15" t="s">
        <v>281</v>
      </c>
      <c r="C36" s="15"/>
      <c r="D36" s="15"/>
      <c r="E36" s="15" t="s">
        <v>282</v>
      </c>
      <c r="F36" s="15"/>
    </row>
    <row r="37" spans="1:6" ht="33.75" customHeight="1">
      <c r="A37" s="15" t="s">
        <v>283</v>
      </c>
      <c r="B37" s="15" t="s">
        <v>284</v>
      </c>
      <c r="C37" s="15"/>
      <c r="D37" s="15"/>
      <c r="E37" s="15" t="s">
        <v>285</v>
      </c>
      <c r="F37" s="15"/>
    </row>
    <row r="38" spans="1:6" ht="32.25" customHeight="1">
      <c r="A38" s="15" t="s">
        <v>286</v>
      </c>
      <c r="B38" s="15" t="s">
        <v>284</v>
      </c>
      <c r="C38" s="15"/>
      <c r="D38" s="15"/>
      <c r="E38" s="15" t="s">
        <v>287</v>
      </c>
      <c r="F38" s="15"/>
    </row>
    <row r="39" spans="1:6" ht="46.5" customHeight="1">
      <c r="A39" s="15" t="s">
        <v>288</v>
      </c>
      <c r="B39" s="15" t="s">
        <v>284</v>
      </c>
      <c r="C39" s="15"/>
      <c r="D39" s="15"/>
      <c r="E39" s="15" t="s">
        <v>289</v>
      </c>
      <c r="F39" s="15"/>
    </row>
    <row r="40" spans="1:6" ht="49.5" customHeight="1">
      <c r="A40" s="15" t="s">
        <v>290</v>
      </c>
      <c r="B40" s="15" t="s">
        <v>284</v>
      </c>
      <c r="C40" s="15"/>
      <c r="D40" s="15"/>
      <c r="E40" s="15" t="s">
        <v>291</v>
      </c>
      <c r="F40" s="15"/>
    </row>
    <row r="41" spans="1:6" ht="51.75" customHeight="1">
      <c r="A41" s="15" t="s">
        <v>292</v>
      </c>
      <c r="B41" s="15" t="s">
        <v>293</v>
      </c>
      <c r="C41" s="15"/>
      <c r="D41" s="15"/>
      <c r="E41" s="15" t="s">
        <v>294</v>
      </c>
      <c r="F41" s="15"/>
    </row>
    <row r="42" spans="1:6" ht="21.95" customHeight="1">
      <c r="A42" s="15" t="s">
        <v>295</v>
      </c>
      <c r="B42" s="15" t="s">
        <v>296</v>
      </c>
      <c r="C42" s="15"/>
      <c r="D42" s="15"/>
      <c r="E42" s="18" t="s">
        <v>297</v>
      </c>
      <c r="F42" s="15"/>
    </row>
    <row r="43" spans="1:6" ht="21.95" customHeight="1">
      <c r="A43" s="24" t="s">
        <v>298</v>
      </c>
      <c r="B43" s="22"/>
      <c r="C43" s="22"/>
      <c r="D43" s="22"/>
      <c r="E43" s="22"/>
      <c r="F43" s="20"/>
    </row>
    <row r="44" spans="1:6" ht="37.5" customHeight="1">
      <c r="A44" s="13" t="s">
        <v>299</v>
      </c>
      <c r="B44" s="13" t="s">
        <v>300</v>
      </c>
      <c r="C44" s="13" t="s">
        <v>301</v>
      </c>
      <c r="D44" s="13" t="s">
        <v>102</v>
      </c>
      <c r="E44" s="45" t="s">
        <v>76</v>
      </c>
      <c r="F44" s="63"/>
    </row>
    <row r="45" spans="1:6" ht="45.75" customHeight="1">
      <c r="A45" s="11" t="s">
        <v>302</v>
      </c>
      <c r="B45" s="15"/>
      <c r="C45" s="15" t="s">
        <v>303</v>
      </c>
      <c r="D45" s="7" t="s">
        <v>304</v>
      </c>
      <c r="E45" s="65"/>
      <c r="F45" s="66"/>
    </row>
    <row r="46" spans="1:6" ht="37.5" customHeight="1">
      <c r="A46" s="11" t="s">
        <v>305</v>
      </c>
      <c r="B46" s="15"/>
      <c r="C46" s="15" t="s">
        <v>306</v>
      </c>
      <c r="D46" s="7" t="s">
        <v>307</v>
      </c>
      <c r="E46" s="65"/>
      <c r="F46" s="66"/>
    </row>
    <row r="47" spans="1:6" ht="38.25" customHeight="1">
      <c r="A47" s="11" t="s">
        <v>308</v>
      </c>
      <c r="B47" s="15"/>
      <c r="C47" s="15" t="s">
        <v>306</v>
      </c>
      <c r="D47" s="7" t="s">
        <v>309</v>
      </c>
      <c r="E47" s="65"/>
      <c r="F47" s="66"/>
    </row>
    <row r="48" spans="1:6" ht="39" customHeight="1">
      <c r="A48" s="11" t="s">
        <v>310</v>
      </c>
      <c r="B48" s="15"/>
      <c r="C48" s="15" t="s">
        <v>311</v>
      </c>
      <c r="D48" s="7" t="s">
        <v>312</v>
      </c>
      <c r="E48" s="65"/>
      <c r="F48" s="66"/>
    </row>
    <row r="49" spans="1:6" ht="42" customHeight="1">
      <c r="A49" s="11" t="s">
        <v>313</v>
      </c>
      <c r="B49" s="15"/>
      <c r="C49" s="15" t="s">
        <v>314</v>
      </c>
      <c r="D49" s="7" t="s">
        <v>315</v>
      </c>
      <c r="E49" s="65"/>
      <c r="F49" s="66"/>
    </row>
    <row r="50" spans="1:6" ht="36.75" customHeight="1">
      <c r="A50" s="11" t="s">
        <v>316</v>
      </c>
      <c r="B50" s="15"/>
      <c r="C50" s="15" t="s">
        <v>303</v>
      </c>
      <c r="D50" s="7" t="s">
        <v>317</v>
      </c>
      <c r="E50" s="65"/>
      <c r="F50" s="66"/>
    </row>
    <row r="51" spans="1:6" ht="33.75" customHeight="1">
      <c r="A51" s="11" t="s">
        <v>318</v>
      </c>
      <c r="B51" s="15"/>
      <c r="C51" s="15" t="s">
        <v>319</v>
      </c>
      <c r="D51" s="7" t="s">
        <v>320</v>
      </c>
      <c r="E51" s="29"/>
      <c r="F51" s="30"/>
    </row>
    <row r="52" spans="1:6" ht="21.95" customHeight="1">
      <c r="A52" s="24" t="s">
        <v>321</v>
      </c>
      <c r="B52" s="22"/>
      <c r="C52" s="22"/>
      <c r="D52" s="22"/>
      <c r="E52" s="69"/>
      <c r="F52" s="70"/>
    </row>
    <row r="53" spans="1:6" ht="21.95" customHeight="1">
      <c r="A53" s="25" t="s">
        <v>322</v>
      </c>
      <c r="B53" s="20"/>
      <c r="C53" s="31" t="s">
        <v>323</v>
      </c>
      <c r="D53" s="32"/>
      <c r="E53" s="13" t="s">
        <v>324</v>
      </c>
      <c r="F53" s="13" t="s">
        <v>76</v>
      </c>
    </row>
    <row r="54" spans="1:6" ht="40.5" customHeight="1">
      <c r="A54" s="26" t="s">
        <v>325</v>
      </c>
      <c r="B54" s="20"/>
      <c r="C54" s="29" t="s">
        <v>326</v>
      </c>
      <c r="D54" s="30"/>
      <c r="E54" s="15" t="s">
        <v>327</v>
      </c>
      <c r="F54" s="15"/>
    </row>
    <row r="55" spans="1:6" ht="26.1" customHeight="1">
      <c r="A55" s="26" t="s">
        <v>328</v>
      </c>
      <c r="B55" s="20"/>
      <c r="C55" s="29" t="s">
        <v>329</v>
      </c>
      <c r="D55" s="30"/>
      <c r="E55" s="15" t="s">
        <v>330</v>
      </c>
      <c r="F55" s="15"/>
    </row>
    <row r="56" spans="1:6" ht="26.1" customHeight="1">
      <c r="A56" s="26" t="s">
        <v>331</v>
      </c>
      <c r="B56" s="20"/>
      <c r="C56" s="29" t="s">
        <v>332</v>
      </c>
      <c r="D56" s="30"/>
      <c r="E56" s="15" t="s">
        <v>333</v>
      </c>
      <c r="F56" s="15"/>
    </row>
    <row r="57" spans="1:6" ht="26.1" customHeight="1">
      <c r="A57" s="26" t="s">
        <v>105</v>
      </c>
      <c r="B57" s="20"/>
      <c r="C57" s="29" t="s">
        <v>334</v>
      </c>
      <c r="D57" s="30"/>
      <c r="E57" s="15" t="s">
        <v>335</v>
      </c>
      <c r="F57" s="15"/>
    </row>
    <row r="58" spans="1:6" ht="26.1" customHeight="1">
      <c r="A58" s="26" t="s">
        <v>336</v>
      </c>
      <c r="B58" s="20"/>
      <c r="C58" s="29" t="s">
        <v>329</v>
      </c>
      <c r="D58" s="30"/>
      <c r="E58" s="15" t="s">
        <v>337</v>
      </c>
      <c r="F58" s="15"/>
    </row>
    <row r="59" spans="1:6" ht="26.1" customHeight="1">
      <c r="A59" s="26" t="s">
        <v>338</v>
      </c>
      <c r="B59" s="20"/>
      <c r="C59" s="29" t="s">
        <v>334</v>
      </c>
      <c r="D59" s="30"/>
      <c r="E59" s="15" t="s">
        <v>339</v>
      </c>
      <c r="F59" s="15"/>
    </row>
  </sheetData>
  <mergeCells count="74">
    <mergeCell ref="C55:D55"/>
    <mergeCell ref="C56:D56"/>
    <mergeCell ref="C57:D57"/>
    <mergeCell ref="C58:D58"/>
    <mergeCell ref="C59:D59"/>
    <mergeCell ref="A56:B56"/>
    <mergeCell ref="A57:B57"/>
    <mergeCell ref="A58:B58"/>
    <mergeCell ref="A59:B59"/>
    <mergeCell ref="E44:F44"/>
    <mergeCell ref="E45:F45"/>
    <mergeCell ref="E46:F46"/>
    <mergeCell ref="E47:F47"/>
    <mergeCell ref="E48:F48"/>
    <mergeCell ref="E49:F49"/>
    <mergeCell ref="A52:F52"/>
    <mergeCell ref="A53:B53"/>
    <mergeCell ref="A54:B54"/>
    <mergeCell ref="A55:B55"/>
    <mergeCell ref="E50:F50"/>
    <mergeCell ref="E51:F51"/>
    <mergeCell ref="C53:D53"/>
    <mergeCell ref="C54:D54"/>
    <mergeCell ref="A32:C32"/>
    <mergeCell ref="E32:F32"/>
    <mergeCell ref="A33:F33"/>
    <mergeCell ref="A34:F34"/>
    <mergeCell ref="A43:F43"/>
    <mergeCell ref="A30:C30"/>
    <mergeCell ref="E30:F30"/>
    <mergeCell ref="A31:F31"/>
    <mergeCell ref="A27:F27"/>
    <mergeCell ref="A28:C28"/>
    <mergeCell ref="E28:F28"/>
    <mergeCell ref="A29:F29"/>
    <mergeCell ref="A24:F24"/>
    <mergeCell ref="A25:C25"/>
    <mergeCell ref="E25:F25"/>
    <mergeCell ref="A26:C26"/>
    <mergeCell ref="E26:F26"/>
    <mergeCell ref="A20:F20"/>
    <mergeCell ref="A21:C21"/>
    <mergeCell ref="E21:F21"/>
    <mergeCell ref="A22:C22"/>
    <mergeCell ref="E22:F22"/>
    <mergeCell ref="A23:C23"/>
    <mergeCell ref="E23:F23"/>
    <mergeCell ref="A17:C17"/>
    <mergeCell ref="E17:F17"/>
    <mergeCell ref="A18:C18"/>
    <mergeCell ref="E18:F18"/>
    <mergeCell ref="A19:C19"/>
    <mergeCell ref="E19:F19"/>
    <mergeCell ref="A13:F13"/>
    <mergeCell ref="A14:C14"/>
    <mergeCell ref="E14:F14"/>
    <mergeCell ref="A15:C15"/>
    <mergeCell ref="E15:F15"/>
    <mergeCell ref="A16:F16"/>
    <mergeCell ref="A9:C9"/>
    <mergeCell ref="A10:F10"/>
    <mergeCell ref="A11:C11"/>
    <mergeCell ref="E11:F11"/>
    <mergeCell ref="A12:C12"/>
    <mergeCell ref="E12:F12"/>
    <mergeCell ref="A5:C5"/>
    <mergeCell ref="A6:F6"/>
    <mergeCell ref="A7:C7"/>
    <mergeCell ref="A8:C8"/>
    <mergeCell ref="A4:F4"/>
    <mergeCell ref="A1:F1"/>
    <mergeCell ref="A2:F2"/>
    <mergeCell ref="A3:C3"/>
    <mergeCell ref="D3:F3"/>
  </mergeCells>
  <dataValidations count="1">
    <dataValidation type="list" allowBlank="1" showInputMessage="1" showErrorMessage="1" sqref="D7:D9 D11:D12 D14:D15 D17:D19 D21:D23 D25:D26 D28 D30 D32" xr:uid="{F308C95C-8A10-4313-8736-E0B9E837EE28}">
      <formula1>"Activated,Not Yet, Not Applicable"</formula1>
    </dataValidation>
  </dataValidations>
  <pageMargins left="0.5" right="0.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2026-05-30T11:32:35Z</dcterms:created>
  <dcterms:modified xsi:type="dcterms:W3CDTF">2026-05-31T16:11:57Z</dcterms:modified>
  <cp:category/>
  <cp:contentStatus/>
</cp:coreProperties>
</file>