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15B150C1-C1A8-498B-BFA9-C8E202680C26}" xr6:coauthVersionLast="47" xr6:coauthVersionMax="47" xr10:uidLastSave="{00000000-0000-0000-0000-000000000000}"/>
  <bookViews>
    <workbookView xWindow="0" yWindow="0" windowWidth="0" windowHeight="0" firstSheet="1" activeTab="2" xr2:uid="{00000000-000D-0000-FFFF-FFFF00000000}"/>
  </bookViews>
  <sheets>
    <sheet name="Solution Design Review" sheetId="1" r:id="rId1"/>
    <sheet name="Data Readiness &amp; Compliance" sheetId="3" r:id="rId2"/>
    <sheet name="Human Oversight Plan" sheetId="5" r:id="rId3"/>
  </sheets>
  <definedNames>
    <definedName name="_xlnm._FilterDatabase" localSheetId="0" hidden="1">'Solution Design Review'!$A$58:$F$62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3" l="1" a="1"/>
  <c r="A38" i="3"/>
  <c r="A36" i="3"/>
  <c r="F38" i="3" a="1"/>
  <c r="F38" i="3"/>
  <c r="F62" i="1" a="1"/>
  <c r="F62" i="1"/>
  <c r="A60" i="1"/>
  <c r="A62" i="1" a="1"/>
  <c r="A6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<sst xmlns="http://schemas.openxmlformats.org/spreadsheetml/2006/main" count="124" uniqueCount="106">
  <si>
    <t>SOLUTION DESIGN - RESPONSIBLE AI REVIEW CHECKLIST</t>
  </si>
  <si>
    <t xml:space="preserve"> DOCUMENT REFERENCE</t>
  </si>
  <si>
    <t>AI Use Case Name</t>
  </si>
  <si>
    <t>Environment</t>
  </si>
  <si>
    <t>PART 1 - TECHNICAL DESIGN AREAS</t>
  </si>
  <si>
    <t>Design / Compliance Requirement</t>
  </si>
  <si>
    <t>Addressed?</t>
  </si>
  <si>
    <t>Where in Design</t>
  </si>
  <si>
    <t>Notes / Gaps</t>
  </si>
  <si>
    <t xml:space="preserve">  A.  SOLUTION ARCHITECTURE</t>
  </si>
  <si>
    <t>High-level system diagram produced (includes components, data flows, integration methods)</t>
  </si>
  <si>
    <t>Scalability and availability requirements stated (concurrent users, SLA, failover strategy)</t>
  </si>
  <si>
    <t xml:space="preserve">  B.  MODEL / AI COMPONENT DESIGN</t>
  </si>
  <si>
    <t>Model selected with rationale documented</t>
  </si>
  <si>
    <t>For LLM/RAG: embedding model, vector store, retrieval strategy, and chunking approach specified</t>
  </si>
  <si>
    <t>For LLM models: Prompt engineering approach defined (system prompt, guardrails, output formatting)</t>
  </si>
  <si>
    <t>For ML models: feature engineering approach defined</t>
  </si>
  <si>
    <t xml:space="preserve">For ML models: Model versioning and experiment tracking approach confirmed </t>
  </si>
  <si>
    <t>For ML models: Retraining / fine-tuning trigger conditions defined (drift threshold, scheduleed retraining, event-based)</t>
  </si>
  <si>
    <t xml:space="preserve">  C.  INTEGRATION &amp; API DESIGN</t>
  </si>
  <si>
    <t xml:space="preserve">All upstream (inputs) and downstream (outputs) system integrations identified and documented </t>
  </si>
  <si>
    <t>Error handling and retry logic specified at each integration boundary</t>
  </si>
  <si>
    <t>Rate limiting defined to prevent overload</t>
  </si>
  <si>
    <t xml:space="preserve">  D.  INFRASTRUCTURE &amp; ENVIRONMENT</t>
  </si>
  <si>
    <t>Infrastructure components specified compute, storage, and GPU/CPU requirements</t>
  </si>
  <si>
    <t>Containerisation/packaging approach defined if applicable (e.g. Docker, Kubernetes)</t>
  </si>
  <si>
    <t xml:space="preserve">  E.  MONITORING </t>
  </si>
  <si>
    <t>Logging requirements defined (what is logged, at what granularity)</t>
  </si>
  <si>
    <t>Monitoring stack selected appropriate to system type, if required (specialized tools for infrastraucture, model drift, and LLMs)</t>
  </si>
  <si>
    <t>Alerting thresholds and notification channels defined for performance and error conditions, if required</t>
  </si>
  <si>
    <t>Audit trail requirements defined, if required (user interactions, model version at inference time)</t>
  </si>
  <si>
    <t>PART 2 - RESPONSIBLE AI VALIDATION</t>
  </si>
  <si>
    <t>Compliance Requirement</t>
  </si>
  <si>
    <t xml:space="preserve">  A.  ACCOUNTABILITY</t>
  </si>
  <si>
    <t>No AI output will trigger an autonomous high-risk external-facing action without documented human approval</t>
  </si>
  <si>
    <t xml:space="preserve">  B.  TRANSPARENCY</t>
  </si>
  <si>
    <t>System purpose, intended use, and known limitations are documented in the Scope of Work</t>
  </si>
  <si>
    <t>Disclosure requirements defined for each user group (i.e. what additional information accompanies every AI output)</t>
  </si>
  <si>
    <t>Inference logging specified as a functional requirement (query, output, model version, timestamp)</t>
  </si>
  <si>
    <t>Source attribution defined as a requirement for RAG-based systems (if applicable)</t>
  </si>
  <si>
    <t xml:space="preserve">  C.  EXPLAINABILITY</t>
  </si>
  <si>
    <t>Explainability method selected, if required (specialized tool for ML, citation-backed generation for RAG/LLM)</t>
  </si>
  <si>
    <t>Required explanation depth defined per target user defined</t>
  </si>
  <si>
    <t>Explanations are a functional requirement in the design (if applicable)</t>
  </si>
  <si>
    <t xml:space="preserve">  D.  FAIRNESS</t>
  </si>
  <si>
    <t>Fairness metrics and acceptable thresholds defined (if applicable)</t>
  </si>
  <si>
    <t>Fairness guardrail approach defined using specialized tools (if applicable)</t>
  </si>
  <si>
    <t xml:space="preserve">  E.  RELIABILITY</t>
  </si>
  <si>
    <t>Performance KPIs defined (accuracy, latency, throughput, availability) as measurable acceptance criteria in Scope of Work</t>
  </si>
  <si>
    <t>Failure modes and fallback behaviour defined for each critical AI component (if applicable)</t>
  </si>
  <si>
    <t>Testing approach specified if applicable (smoke / regression / load / edge case)</t>
  </si>
  <si>
    <t xml:space="preserve">  F.  SECURITY</t>
  </si>
  <si>
    <t>Role-based access controls specified</t>
  </si>
  <si>
    <t xml:space="preserve">Encryption requirements defined for data at rest and in transit </t>
  </si>
  <si>
    <t xml:space="preserve">  G.  HUMAN OVERSIGHT</t>
  </si>
  <si>
    <t xml:space="preserve">Human-in-the-loop (HITL) defined in the workflow </t>
  </si>
  <si>
    <t xml:space="preserve">Override and escalation mechanism designed, if required (how a human can reject or escalate an AI output) </t>
  </si>
  <si>
    <t>PART 3 - OUTCOME</t>
  </si>
  <si>
    <t>OVERALL DESIGN READINESS</t>
  </si>
  <si>
    <t>Gap / Unaddressed Item</t>
  </si>
  <si>
    <t>Status</t>
  </si>
  <si>
    <t>DATA READINESS &amp; COMPLIANCE CHECKLIST</t>
  </si>
  <si>
    <t>DOCUMENT REFERENCE</t>
  </si>
  <si>
    <t xml:space="preserve">  A.  DATA SOURCES REGISTER</t>
  </si>
  <si>
    <t>Data Source Name</t>
  </si>
  <si>
    <t>Classification Level
(Public (C0) / Internal (C1) / Confidential (C2)  / Classified (C3) / Top Secret (C4) )</t>
  </si>
  <si>
    <t>Contains PII?
(Yes / No)</t>
  </si>
  <si>
    <t>Ingestion Method</t>
  </si>
  <si>
    <t xml:space="preserve">  B.  DATA READINESS</t>
  </si>
  <si>
    <t>Requirement</t>
  </si>
  <si>
    <t xml:space="preserve">Notes </t>
  </si>
  <si>
    <t>Data quality assessed (completeness, accuracy, and freshness) are acceptable for the defined use case</t>
  </si>
  <si>
    <t>Data schema documented and shared with the development team</t>
  </si>
  <si>
    <t>Data volume is sufficient and representative for model training or retrieval (if applicable)</t>
  </si>
  <si>
    <t>A data refresh or reingestion schedule is confirmed (if applicable)</t>
  </si>
  <si>
    <t xml:space="preserve">  C.  SCEAI DATA SOVEREIGNTY COMPLIANCE</t>
  </si>
  <si>
    <t>Notes</t>
  </si>
  <si>
    <t>All data is stored and processed within Qatar</t>
  </si>
  <si>
    <t>Deployment environment confirmed in a Qatar-based data center or on-premise infrastructure</t>
  </si>
  <si>
    <t>No cross-border data transfer occurs without explicit documented approval from SCEAI</t>
  </si>
  <si>
    <t>Third-party or vendor services used in the pipeline are assessed for data residency compliance (i.e. Data residency confirmed to be within Qatar)</t>
  </si>
  <si>
    <t xml:space="preserve">  D.  NCSA DATA CLASSIFICATION &amp; ACCESS SECURITY</t>
  </si>
  <si>
    <t>All data sources are classified (C0-C4)</t>
  </si>
  <si>
    <t xml:space="preserve">Role-based access control (RBAC) is defined </t>
  </si>
  <si>
    <t>Access to Confidential or higher data is restricted to named individuals with documented justification</t>
  </si>
  <si>
    <t>All data access events are logged with user identity, timestamp, and action performed</t>
  </si>
  <si>
    <t xml:space="preserve">  E.  QATAR PDPL - PERSONAL DATA  (Complete if any source contains PII)</t>
  </si>
  <si>
    <t>Lawful basis for usage (explicit user consent) documented for each PII data source under Qatar PDPL</t>
  </si>
  <si>
    <t>PII fields identified and listed per source</t>
  </si>
  <si>
    <t xml:space="preserve">Data minimization and anonymisation applied </t>
  </si>
  <si>
    <t>Retention period defined for PII</t>
  </si>
  <si>
    <t>OUTCOME</t>
  </si>
  <si>
    <t>OVERALL DATA READINESS &amp; COMPLIANCE</t>
  </si>
  <si>
    <t>HUMAN OVERSIGHT PLAN</t>
  </si>
  <si>
    <t xml:space="preserve">  A.  HUMAN-IN-THE-LOOP (HITL) MECHANISM DESIGN</t>
  </si>
  <si>
    <t>HITL Mechanism
(describe how the human review gate works)</t>
  </si>
  <si>
    <t>Where in the Workflow
(pipeline step / UI screen)</t>
  </si>
  <si>
    <t>How does the human act on the output?</t>
  </si>
  <si>
    <t>Audit Log
Required?</t>
  </si>
  <si>
    <t>Describe the override mechanism - how a human rejects or modifies an AI output and what happens next:</t>
  </si>
  <si>
    <t xml:space="preserve">  B.  ESCALATION TRIGGERS</t>
  </si>
  <si>
    <t>Trigger Condition</t>
  </si>
  <si>
    <t>Required Action</t>
  </si>
  <si>
    <t>Unusual spike in human overrides of AI recommendations</t>
  </si>
  <si>
    <t>Model performance drops below accepted KPIs</t>
  </si>
  <si>
    <t>Regulatory or policy change affecting this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</si>
</sst>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2B1A1A"/>
      <name val="Calibri"/>
    </font>
    <font>
      <sz val="10"/>
      <color rgb="FF2B1A1A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b/>
      <sz val="11"/>
      <color rgb="FF2B1A1A"/>
      <name val="Calibri"/>
    </font>
    <font>
      <sz val="10"/>
      <color theme="1"/>
      <name val="Calibri"/>
      <family val="2"/>
      <scheme val="minor"/>
    </font>
    <font>
      <b/>
      <sz val="15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8A1538"/>
      </patternFill>
    </fill>
    <fill>
      <patternFill patternType="solid">
        <fgColor rgb="FFA29475"/>
      </patternFill>
    </fill>
    <fill>
      <patternFill patternType="solid">
        <fgColor rgb="FFEDE9E4"/>
      </patternFill>
    </fill>
    <fill>
      <patternFill patternType="solid">
        <fgColor rgb="FFFDFAF7"/>
      </patternFill>
    </fill>
    <fill>
      <patternFill patternType="solid">
        <fgColor rgb="FF5C3D44"/>
      </patternFill>
    </fill>
    <fill>
      <patternFill patternType="solid">
        <fgColor rgb="FF6B5040"/>
      </patternFill>
    </fill>
    <fill>
      <patternFill patternType="solid">
        <fgColor rgb="FFE2EFDA"/>
      </patternFill>
    </fill>
  </fills>
  <borders count="9">
    <border>
      <left/>
      <right/>
      <top/>
      <bottom/>
      <diagonal/>
    </border>
    <border>
      <left style="thin">
        <color rgb="FFC8B8BC"/>
      </left>
      <right style="thin">
        <color rgb="FFC8B8BC"/>
      </right>
      <top style="thin">
        <color rgb="FFC8B8BC"/>
      </top>
      <bottom style="thin">
        <color rgb="FFC8B8BC"/>
      </bottom>
      <diagonal/>
    </border>
    <border>
      <left/>
      <right/>
      <top style="thin">
        <color rgb="FFC8B8BC"/>
      </top>
      <bottom style="thin">
        <color rgb="FFC8B8BC"/>
      </bottom>
      <diagonal/>
    </border>
    <border>
      <left/>
      <right style="thin">
        <color rgb="FFC8B8BC"/>
      </right>
      <top style="thin">
        <color rgb="FFC8B8BC"/>
      </top>
      <bottom style="thin">
        <color rgb="FFC8B8BC"/>
      </bottom>
      <diagonal/>
    </border>
    <border>
      <left style="thin">
        <color rgb="FFC8B8BC"/>
      </left>
      <right/>
      <top style="thin">
        <color rgb="FFC8B8BC"/>
      </top>
      <bottom style="thin">
        <color rgb="FFC8B8BC"/>
      </bottom>
      <diagonal/>
    </border>
    <border>
      <left/>
      <right style="thin">
        <color rgb="FFC8B8BC"/>
      </right>
      <top style="thin">
        <color rgb="FFC8B8BC"/>
      </top>
      <bottom/>
      <diagonal/>
    </border>
    <border>
      <left style="thin">
        <color rgb="FFC8B8BC"/>
      </left>
      <right/>
      <top style="thin">
        <color rgb="FFC8B8BC"/>
      </top>
      <bottom/>
      <diagonal/>
    </border>
    <border>
      <left/>
      <right/>
      <top style="thin">
        <color rgb="FFC8B8BC"/>
      </top>
      <bottom/>
      <diagonal/>
    </border>
    <border>
      <left style="thin">
        <color rgb="FFC8B8BC"/>
      </left>
      <right style="thin">
        <color rgb="FFC8B8BC"/>
      </right>
      <top style="thin">
        <color rgb="FFC8B8BC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Border="1"/>
    <xf numFmtId="0" fontId="5" fillId="2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3" xfId="0" applyBorder="1" applyAlignment="1"/>
    <xf numFmtId="0" fontId="4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1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0" fillId="0" borderId="5" xfId="0" applyBorder="1" applyAlignment="1"/>
    <xf numFmtId="0" fontId="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8B8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8"/>
  <sheetViews>
    <sheetView workbookViewId="0">
      <pane ySplit="3" topLeftCell="A51" activePane="bottomLeft" state="frozen"/>
      <selection pane="bottomLeft" activeCell="F62" sqref="F62"/>
    </sheetView>
  </sheetViews>
  <sheetFormatPr defaultRowHeight="15"/>
  <cols>
    <col min="1" max="1" width="44" customWidth="1"/>
    <col min="2" max="3" width="14" customWidth="1"/>
    <col min="4" max="4" width="24" customWidth="1"/>
    <col min="5" max="6" width="22" customWidth="1"/>
  </cols>
  <sheetData>
    <row r="1" spans="1:6" ht="38.1" customHeight="1">
      <c r="A1" s="25" t="s">
        <v>0</v>
      </c>
      <c r="B1" s="24"/>
      <c r="C1" s="24"/>
      <c r="D1" s="24"/>
      <c r="E1" s="24"/>
      <c r="F1" s="20"/>
    </row>
    <row r="2" spans="1:6" ht="21.95" customHeight="1">
      <c r="A2" s="23" t="s">
        <v>1</v>
      </c>
      <c r="B2" s="24"/>
      <c r="C2" s="24"/>
      <c r="D2" s="24"/>
      <c r="E2" s="24"/>
      <c r="F2" s="20"/>
    </row>
    <row r="3" spans="1:6" ht="18" customHeight="1">
      <c r="A3" s="26" t="s">
        <v>2</v>
      </c>
      <c r="B3" s="24"/>
      <c r="C3" s="20"/>
      <c r="D3" s="21"/>
      <c r="E3" s="24"/>
      <c r="F3" s="20"/>
    </row>
    <row r="4" spans="1:6" ht="18" customHeight="1">
      <c r="A4" s="26" t="s">
        <v>3</v>
      </c>
      <c r="B4" s="24"/>
      <c r="C4" s="20"/>
      <c r="D4" s="21"/>
      <c r="E4" s="24"/>
      <c r="F4" s="20"/>
    </row>
    <row r="6" spans="1:6" ht="27.95" customHeight="1">
      <c r="A6" s="27" t="s">
        <v>4</v>
      </c>
      <c r="B6" s="24"/>
      <c r="C6" s="24"/>
      <c r="D6" s="24"/>
      <c r="E6" s="24"/>
      <c r="F6" s="20"/>
    </row>
    <row r="7" spans="1:6" ht="26.25" customHeight="1">
      <c r="A7" s="22" t="s">
        <v>5</v>
      </c>
      <c r="B7" s="24"/>
      <c r="C7" s="20"/>
      <c r="D7" s="3" t="s">
        <v>6</v>
      </c>
      <c r="E7" s="3" t="s">
        <v>7</v>
      </c>
      <c r="F7" s="3" t="s">
        <v>8</v>
      </c>
    </row>
    <row r="8" spans="1:6" ht="21.95" customHeight="1">
      <c r="A8" s="23" t="s">
        <v>9</v>
      </c>
      <c r="B8" s="24"/>
      <c r="C8" s="24"/>
      <c r="D8" s="24"/>
      <c r="E8" s="24"/>
      <c r="F8" s="20"/>
    </row>
    <row r="9" spans="1:6" ht="30" customHeight="1">
      <c r="A9" s="19" t="s">
        <v>10</v>
      </c>
      <c r="B9" s="24"/>
      <c r="C9" s="20"/>
      <c r="D9" s="2"/>
      <c r="E9" s="2"/>
      <c r="F9" s="2"/>
    </row>
    <row r="10" spans="1:6" ht="30" customHeight="1">
      <c r="A10" s="19" t="s">
        <v>11</v>
      </c>
      <c r="B10" s="24"/>
      <c r="C10" s="20"/>
      <c r="D10" s="2"/>
      <c r="E10" s="2"/>
      <c r="F10" s="2"/>
    </row>
    <row r="11" spans="1:6" ht="21.95" customHeight="1">
      <c r="A11" s="23" t="s">
        <v>12</v>
      </c>
      <c r="B11" s="24"/>
      <c r="C11" s="24"/>
      <c r="D11" s="24"/>
      <c r="E11" s="24"/>
      <c r="F11" s="20"/>
    </row>
    <row r="12" spans="1:6" ht="30" customHeight="1">
      <c r="A12" s="19" t="s">
        <v>13</v>
      </c>
      <c r="B12" s="24"/>
      <c r="C12" s="20"/>
      <c r="D12" s="2"/>
      <c r="E12" s="2"/>
      <c r="F12" s="2"/>
    </row>
    <row r="13" spans="1:6" ht="30" customHeight="1">
      <c r="A13" s="28" t="s">
        <v>14</v>
      </c>
      <c r="B13" s="29"/>
      <c r="C13" s="30"/>
      <c r="D13" s="2"/>
      <c r="E13" s="2"/>
      <c r="F13" s="2"/>
    </row>
    <row r="14" spans="1:6" ht="30" customHeight="1">
      <c r="A14" s="19" t="s">
        <v>15</v>
      </c>
      <c r="B14" s="24"/>
      <c r="C14" s="20"/>
      <c r="D14" s="2"/>
      <c r="E14" s="2"/>
      <c r="F14" s="2"/>
    </row>
    <row r="15" spans="1:6" ht="30" customHeight="1">
      <c r="A15" s="19" t="s">
        <v>16</v>
      </c>
      <c r="B15" s="24"/>
      <c r="C15" s="20"/>
      <c r="D15" s="2"/>
      <c r="E15" s="2"/>
      <c r="F15" s="2"/>
    </row>
    <row r="16" spans="1:6" ht="30" customHeight="1">
      <c r="A16" s="19" t="s">
        <v>17</v>
      </c>
      <c r="B16" s="24"/>
      <c r="C16" s="20"/>
      <c r="D16" s="2"/>
      <c r="E16" s="2"/>
      <c r="F16" s="2"/>
    </row>
    <row r="17" spans="1:6" ht="30" customHeight="1">
      <c r="A17" s="19" t="s">
        <v>18</v>
      </c>
      <c r="B17" s="24"/>
      <c r="C17" s="20"/>
      <c r="D17" s="2"/>
      <c r="E17" s="2"/>
      <c r="F17" s="2"/>
    </row>
    <row r="18" spans="1:6" ht="21.95" customHeight="1">
      <c r="A18" s="23" t="s">
        <v>19</v>
      </c>
      <c r="B18" s="24"/>
      <c r="C18" s="24"/>
      <c r="D18" s="24"/>
      <c r="E18" s="24"/>
      <c r="F18" s="20"/>
    </row>
    <row r="19" spans="1:6" ht="30" customHeight="1">
      <c r="A19" s="19" t="s">
        <v>20</v>
      </c>
      <c r="B19" s="24"/>
      <c r="C19" s="20"/>
      <c r="D19" s="2"/>
      <c r="E19" s="2"/>
      <c r="F19" s="2"/>
    </row>
    <row r="20" spans="1:6" ht="30" customHeight="1">
      <c r="A20" s="19" t="s">
        <v>21</v>
      </c>
      <c r="B20" s="24"/>
      <c r="C20" s="20"/>
      <c r="D20" s="2"/>
      <c r="E20" s="2"/>
      <c r="F20" s="2"/>
    </row>
    <row r="21" spans="1:6" ht="30" customHeight="1">
      <c r="A21" s="19" t="s">
        <v>22</v>
      </c>
      <c r="B21" s="24"/>
      <c r="C21" s="20"/>
      <c r="D21" s="2"/>
      <c r="E21" s="2"/>
      <c r="F21" s="2"/>
    </row>
    <row r="22" spans="1:6" ht="21.95" customHeight="1">
      <c r="A22" s="23" t="s">
        <v>23</v>
      </c>
      <c r="B22" s="24"/>
      <c r="C22" s="24"/>
      <c r="D22" s="24"/>
      <c r="E22" s="24"/>
      <c r="F22" s="20"/>
    </row>
    <row r="23" spans="1:6" ht="30" customHeight="1">
      <c r="A23" s="19" t="s">
        <v>24</v>
      </c>
      <c r="B23" s="24"/>
      <c r="C23" s="20"/>
      <c r="D23" s="2"/>
      <c r="E23" s="2"/>
      <c r="F23" s="2"/>
    </row>
    <row r="24" spans="1:6" ht="30" customHeight="1">
      <c r="A24" s="19" t="s">
        <v>25</v>
      </c>
      <c r="B24" s="24"/>
      <c r="C24" s="20"/>
      <c r="D24" s="2"/>
      <c r="E24" s="2"/>
      <c r="F24" s="2"/>
    </row>
    <row r="25" spans="1:6" ht="21.95" customHeight="1">
      <c r="A25" s="23" t="s">
        <v>26</v>
      </c>
      <c r="B25" s="24"/>
      <c r="C25" s="24"/>
      <c r="D25" s="24"/>
      <c r="E25" s="24"/>
      <c r="F25" s="20"/>
    </row>
    <row r="26" spans="1:6" ht="30" customHeight="1">
      <c r="A26" s="19" t="s">
        <v>27</v>
      </c>
      <c r="B26" s="24"/>
      <c r="C26" s="20"/>
      <c r="D26" s="2"/>
      <c r="E26" s="2"/>
      <c r="F26" s="2"/>
    </row>
    <row r="27" spans="1:6" ht="30" customHeight="1">
      <c r="A27" s="19" t="s">
        <v>28</v>
      </c>
      <c r="B27" s="24"/>
      <c r="C27" s="20"/>
      <c r="D27" s="2"/>
      <c r="E27" s="2"/>
      <c r="F27" s="2"/>
    </row>
    <row r="28" spans="1:6" ht="30" customHeight="1">
      <c r="A28" s="19" t="s">
        <v>29</v>
      </c>
      <c r="B28" s="24"/>
      <c r="C28" s="20"/>
      <c r="D28" s="2"/>
      <c r="E28" s="2"/>
      <c r="F28" s="2"/>
    </row>
    <row r="29" spans="1:6" ht="30" customHeight="1">
      <c r="A29" s="19" t="s">
        <v>30</v>
      </c>
      <c r="B29" s="24"/>
      <c r="C29" s="20"/>
      <c r="D29" s="2"/>
      <c r="E29" s="2"/>
      <c r="F29" s="2"/>
    </row>
    <row r="31" spans="1:6" ht="27.95" customHeight="1">
      <c r="A31" s="31" t="s">
        <v>31</v>
      </c>
      <c r="B31" s="24"/>
      <c r="C31" s="24"/>
      <c r="D31" s="24"/>
      <c r="E31" s="24"/>
      <c r="F31" s="20"/>
    </row>
    <row r="32" spans="1:6" ht="27.75" customHeight="1">
      <c r="A32" s="22" t="s">
        <v>32</v>
      </c>
      <c r="B32" s="24"/>
      <c r="C32" s="20"/>
      <c r="D32" s="14" t="s">
        <v>6</v>
      </c>
      <c r="E32" s="15"/>
      <c r="F32" s="3" t="s">
        <v>8</v>
      </c>
    </row>
    <row r="33" spans="1:6" ht="21.95" customHeight="1">
      <c r="A33" s="23" t="s">
        <v>33</v>
      </c>
      <c r="B33" s="24"/>
      <c r="C33" s="24"/>
      <c r="D33" s="24"/>
      <c r="E33" s="24"/>
      <c r="F33" s="20"/>
    </row>
    <row r="34" spans="1:6" ht="30" customHeight="1">
      <c r="A34" s="19" t="s">
        <v>34</v>
      </c>
      <c r="B34" s="24"/>
      <c r="C34" s="20"/>
      <c r="D34" s="16"/>
      <c r="E34" s="17"/>
      <c r="F34" s="2"/>
    </row>
    <row r="35" spans="1:6" ht="21.95" customHeight="1">
      <c r="A35" s="23" t="s">
        <v>35</v>
      </c>
      <c r="B35" s="24"/>
      <c r="C35" s="24"/>
      <c r="D35" s="24"/>
      <c r="E35" s="24"/>
      <c r="F35" s="20"/>
    </row>
    <row r="36" spans="1:6" ht="30" customHeight="1">
      <c r="A36" s="19" t="s">
        <v>36</v>
      </c>
      <c r="B36" s="24"/>
      <c r="C36" s="20"/>
      <c r="D36" s="16"/>
      <c r="E36" s="17"/>
      <c r="F36" s="2"/>
    </row>
    <row r="37" spans="1:6" ht="30" customHeight="1">
      <c r="A37" s="19" t="s">
        <v>37</v>
      </c>
      <c r="B37" s="24"/>
      <c r="C37" s="20"/>
      <c r="D37" s="16"/>
      <c r="E37" s="17"/>
      <c r="F37" s="2"/>
    </row>
    <row r="38" spans="1:6" ht="30" customHeight="1">
      <c r="A38" s="19" t="s">
        <v>38</v>
      </c>
      <c r="B38" s="24"/>
      <c r="C38" s="20"/>
      <c r="D38" s="16"/>
      <c r="E38" s="17"/>
      <c r="F38" s="2"/>
    </row>
    <row r="39" spans="1:6" ht="30" customHeight="1">
      <c r="A39" s="19" t="s">
        <v>39</v>
      </c>
      <c r="B39" s="24"/>
      <c r="C39" s="20"/>
      <c r="D39" s="16"/>
      <c r="E39" s="17"/>
      <c r="F39" s="2"/>
    </row>
    <row r="40" spans="1:6" ht="21.95" customHeight="1">
      <c r="A40" s="23" t="s">
        <v>40</v>
      </c>
      <c r="B40" s="24"/>
      <c r="C40" s="24"/>
      <c r="D40" s="24"/>
      <c r="E40" s="24"/>
      <c r="F40" s="20"/>
    </row>
    <row r="41" spans="1:6" ht="30" customHeight="1">
      <c r="A41" s="19" t="s">
        <v>41</v>
      </c>
      <c r="B41" s="24"/>
      <c r="C41" s="20"/>
      <c r="D41" s="16"/>
      <c r="E41" s="17"/>
      <c r="F41" s="2"/>
    </row>
    <row r="42" spans="1:6" ht="30" customHeight="1">
      <c r="A42" s="19" t="s">
        <v>42</v>
      </c>
      <c r="B42" s="24"/>
      <c r="C42" s="20"/>
      <c r="D42" s="16"/>
      <c r="E42" s="17"/>
      <c r="F42" s="2"/>
    </row>
    <row r="43" spans="1:6" ht="30" customHeight="1">
      <c r="A43" s="19" t="s">
        <v>43</v>
      </c>
      <c r="B43" s="24"/>
      <c r="C43" s="20"/>
      <c r="D43" s="16"/>
      <c r="E43" s="17"/>
      <c r="F43" s="2"/>
    </row>
    <row r="44" spans="1:6" ht="21.95" customHeight="1">
      <c r="A44" s="23" t="s">
        <v>44</v>
      </c>
      <c r="B44" s="24"/>
      <c r="C44" s="24"/>
      <c r="D44" s="24"/>
      <c r="E44" s="24"/>
      <c r="F44" s="20"/>
    </row>
    <row r="45" spans="1:6" ht="30" customHeight="1">
      <c r="A45" s="19" t="s">
        <v>45</v>
      </c>
      <c r="B45" s="24"/>
      <c r="C45" s="20"/>
      <c r="D45" s="16"/>
      <c r="E45" s="17"/>
      <c r="F45" s="2"/>
    </row>
    <row r="46" spans="1:6" ht="30" customHeight="1">
      <c r="A46" s="19" t="s">
        <v>46</v>
      </c>
      <c r="B46" s="24"/>
      <c r="C46" s="20"/>
      <c r="D46" s="16"/>
      <c r="E46" s="17"/>
      <c r="F46" s="2"/>
    </row>
    <row r="47" spans="1:6" ht="21.95" customHeight="1">
      <c r="A47" s="23" t="s">
        <v>47</v>
      </c>
      <c r="B47" s="24"/>
      <c r="C47" s="24"/>
      <c r="D47" s="24"/>
      <c r="E47" s="24"/>
      <c r="F47" s="20"/>
    </row>
    <row r="48" spans="1:6" ht="30" customHeight="1">
      <c r="A48" s="19" t="s">
        <v>48</v>
      </c>
      <c r="B48" s="24"/>
      <c r="C48" s="20"/>
      <c r="D48" s="16"/>
      <c r="E48" s="17"/>
      <c r="F48" s="2"/>
    </row>
    <row r="49" spans="1:6" ht="30" customHeight="1">
      <c r="A49" s="19" t="s">
        <v>49</v>
      </c>
      <c r="B49" s="24"/>
      <c r="C49" s="20"/>
      <c r="D49" s="16"/>
      <c r="E49" s="17"/>
      <c r="F49" s="2"/>
    </row>
    <row r="50" spans="1:6" ht="30" customHeight="1">
      <c r="A50" s="19" t="s">
        <v>50</v>
      </c>
      <c r="B50" s="24"/>
      <c r="C50" s="20"/>
      <c r="D50" s="16"/>
      <c r="E50" s="17"/>
      <c r="F50" s="2"/>
    </row>
    <row r="51" spans="1:6" ht="21.95" customHeight="1">
      <c r="A51" s="23" t="s">
        <v>51</v>
      </c>
      <c r="B51" s="24"/>
      <c r="C51" s="24"/>
      <c r="D51" s="24"/>
      <c r="E51" s="24"/>
      <c r="F51" s="20"/>
    </row>
    <row r="52" spans="1:6" ht="30" customHeight="1">
      <c r="A52" s="19" t="s">
        <v>52</v>
      </c>
      <c r="B52" s="24"/>
      <c r="C52" s="20"/>
      <c r="D52" s="16"/>
      <c r="E52" s="17"/>
      <c r="F52" s="2"/>
    </row>
    <row r="53" spans="1:6" ht="30" customHeight="1">
      <c r="A53" s="19" t="s">
        <v>53</v>
      </c>
      <c r="B53" s="24"/>
      <c r="C53" s="20"/>
      <c r="D53" s="16"/>
      <c r="E53" s="17"/>
      <c r="F53" s="2"/>
    </row>
    <row r="54" spans="1:6" ht="21.95" customHeight="1">
      <c r="A54" s="23" t="s">
        <v>54</v>
      </c>
      <c r="B54" s="24"/>
      <c r="C54" s="24"/>
      <c r="D54" s="24"/>
      <c r="E54" s="24"/>
      <c r="F54" s="20"/>
    </row>
    <row r="55" spans="1:6" ht="30" customHeight="1">
      <c r="A55" s="19" t="s">
        <v>55</v>
      </c>
      <c r="B55" s="24"/>
      <c r="C55" s="20"/>
      <c r="D55" s="16"/>
      <c r="E55" s="17"/>
      <c r="F55" s="2"/>
    </row>
    <row r="56" spans="1:6" ht="30" customHeight="1">
      <c r="A56" s="19" t="s">
        <v>56</v>
      </c>
      <c r="B56" s="24"/>
      <c r="C56" s="20"/>
      <c r="D56" s="16"/>
      <c r="E56" s="17"/>
      <c r="F56" s="2"/>
    </row>
    <row r="58" spans="1:6" ht="27.95" customHeight="1">
      <c r="A58" s="34" t="s">
        <v>57</v>
      </c>
      <c r="B58" s="24"/>
      <c r="C58" s="24"/>
      <c r="D58" s="24"/>
      <c r="E58" s="24"/>
      <c r="F58" s="20"/>
    </row>
    <row r="59" spans="1:6" ht="27.95" customHeight="1">
      <c r="A59" s="23" t="s">
        <v>58</v>
      </c>
      <c r="B59" s="24"/>
      <c r="C59" s="24"/>
      <c r="D59" s="24"/>
      <c r="E59" s="24"/>
      <c r="F59" s="20"/>
    </row>
    <row r="60" spans="1:6" ht="27.95" customHeight="1">
      <c r="A60" s="32" t="str">
        <f>IF(COUNTIF(D2:D56,"No")&gt;0,
"Not Ready",
IF(COUNTIF(D2:D56,"Partially")&gt;0,
"Partially Ready",
"Ready"))</f>
        <v>Ready</v>
      </c>
      <c r="B60" s="24"/>
      <c r="C60" s="24"/>
      <c r="D60" s="24"/>
      <c r="E60" s="24"/>
      <c r="F60" s="33"/>
    </row>
    <row r="61" spans="1:6" ht="21.95" customHeight="1">
      <c r="A61" s="14" t="s">
        <v>59</v>
      </c>
      <c r="B61" s="18"/>
      <c r="C61" s="18"/>
      <c r="D61" s="18"/>
      <c r="E61" s="18"/>
      <c r="F61" s="6" t="s">
        <v>60</v>
      </c>
    </row>
    <row r="62" spans="1:6" ht="26.1" customHeight="1">
      <c r="A62" s="4" t="str" cm="1">
        <f t="array" ref="A62">_xlfn._xlws.FILTER(A2:A98,(D2:D98="No")+(D2:D98="Partially"),"")</f>
        <v/>
      </c>
      <c r="F62" s="5" t="str" cm="1">
        <f t="array" ref="F62">_xlfn._xlws.FILTER(D2:D98,(D2:D98="No")+(D2:D98="Partially"),"")</f>
        <v/>
      </c>
    </row>
    <row r="63" spans="1:6" ht="21.75" customHeight="1">
      <c r="A63" s="4"/>
      <c r="F63" s="4"/>
    </row>
    <row r="65" ht="21.95" customHeight="1"/>
    <row r="66" ht="26.1" customHeight="1"/>
    <row r="67" ht="26.1" customHeight="1"/>
    <row r="68" ht="26.1" customHeight="1"/>
  </sheetData>
  <mergeCells count="78">
    <mergeCell ref="A2:F2"/>
    <mergeCell ref="A58:F58"/>
    <mergeCell ref="A37:C37"/>
    <mergeCell ref="A1:F1"/>
    <mergeCell ref="A18:F18"/>
    <mergeCell ref="A44:F44"/>
    <mergeCell ref="A16:C16"/>
    <mergeCell ref="A46:C46"/>
    <mergeCell ref="A43:C43"/>
    <mergeCell ref="A23:C23"/>
    <mergeCell ref="A22:F22"/>
    <mergeCell ref="A9:C9"/>
    <mergeCell ref="A3:C3"/>
    <mergeCell ref="A42:C42"/>
    <mergeCell ref="A47:F47"/>
    <mergeCell ref="A31:F31"/>
    <mergeCell ref="A28:C28"/>
    <mergeCell ref="A11:F11"/>
    <mergeCell ref="A38:C38"/>
    <mergeCell ref="A39:C39"/>
    <mergeCell ref="A12:C12"/>
    <mergeCell ref="A19:C19"/>
    <mergeCell ref="A45:C45"/>
    <mergeCell ref="D43:E43"/>
    <mergeCell ref="D45:E45"/>
    <mergeCell ref="D46:E46"/>
    <mergeCell ref="A20:C20"/>
    <mergeCell ref="A25:F25"/>
    <mergeCell ref="A33:F33"/>
    <mergeCell ref="A51:F51"/>
    <mergeCell ref="A29:C29"/>
    <mergeCell ref="A24:C24"/>
    <mergeCell ref="A35:F35"/>
    <mergeCell ref="A26:C26"/>
    <mergeCell ref="A48:C48"/>
    <mergeCell ref="A50:C50"/>
    <mergeCell ref="A49:C49"/>
    <mergeCell ref="A34:C34"/>
    <mergeCell ref="D48:E48"/>
    <mergeCell ref="D49:E49"/>
    <mergeCell ref="D50:E50"/>
    <mergeCell ref="A21:C21"/>
    <mergeCell ref="A27:C27"/>
    <mergeCell ref="A36:C36"/>
    <mergeCell ref="A41:C41"/>
    <mergeCell ref="A40:F40"/>
    <mergeCell ref="D38:E38"/>
    <mergeCell ref="D39:E39"/>
    <mergeCell ref="D41:E41"/>
    <mergeCell ref="D42:E42"/>
    <mergeCell ref="D3:F3"/>
    <mergeCell ref="A32:C32"/>
    <mergeCell ref="D32:E32"/>
    <mergeCell ref="D34:E34"/>
    <mergeCell ref="D36:E36"/>
    <mergeCell ref="D37:E37"/>
    <mergeCell ref="A10:C10"/>
    <mergeCell ref="D4:F4"/>
    <mergeCell ref="A17:C17"/>
    <mergeCell ref="A6:F6"/>
    <mergeCell ref="A8:F8"/>
    <mergeCell ref="A4:C4"/>
    <mergeCell ref="A14:C14"/>
    <mergeCell ref="A7:C7"/>
    <mergeCell ref="A13:C13"/>
    <mergeCell ref="A15:C15"/>
    <mergeCell ref="D52:E52"/>
    <mergeCell ref="D53:E53"/>
    <mergeCell ref="D55:E55"/>
    <mergeCell ref="D56:E56"/>
    <mergeCell ref="A61:E61"/>
    <mergeCell ref="A59:F59"/>
    <mergeCell ref="A54:F54"/>
    <mergeCell ref="A56:C56"/>
    <mergeCell ref="A52:C52"/>
    <mergeCell ref="A55:C55"/>
    <mergeCell ref="A53:C53"/>
    <mergeCell ref="A60:F60"/>
  </mergeCells>
  <conditionalFormatting sqref="A60:F60">
    <cfRule type="expression" dxfId="4" priority="3">
      <formula>A60:F60="Not Ready"</formula>
    </cfRule>
  </conditionalFormatting>
  <conditionalFormatting sqref="A60:F60">
    <cfRule type="expression" dxfId="3" priority="2">
      <formula>A60:F60="Partially Ready"</formula>
    </cfRule>
  </conditionalFormatting>
  <conditionalFormatting sqref="A60:F60">
    <cfRule type="expression" dxfId="2" priority="1">
      <formula>A60:F60="Ready"</formula>
    </cfRule>
  </conditionalFormatting>
  <dataValidations count="2">
    <dataValidation type="list" allowBlank="1" showInputMessage="1" showErrorMessage="1" sqref="D4:F4" xr:uid="{96F95193-E6D8-4FD1-8B4E-32ADD8BDFD01}">
      <formula1>"PoC,Production"</formula1>
    </dataValidation>
    <dataValidation type="list" allowBlank="1" showInputMessage="1" showErrorMessage="1" sqref="D9:D10 D12:D17 D19:D21 D23:D24 D26:D29 D34 D36:D39 D41:D43 D45:D46 D48:D50 D52:D53 D55:D56" xr:uid="{7029C7C0-8738-4859-9D63-63E3D18A569D}">
      <formula1>"Yes,Partially,No,Not Applicable"</formula1>
    </dataValidation>
  </dataValidations>
  <pageMargins left="0.5" right="0.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7DDE-06D6-4E21-91C9-C31B6B9C6513}">
  <sheetPr>
    <pageSetUpPr fitToPage="1"/>
  </sheetPr>
  <dimension ref="A1:H38"/>
  <sheetViews>
    <sheetView workbookViewId="0">
      <pane ySplit="2" topLeftCell="A3" activePane="bottomLeft" state="frozen"/>
      <selection pane="bottomLeft" activeCell="I27" sqref="I27"/>
    </sheetView>
  </sheetViews>
  <sheetFormatPr defaultRowHeight="15"/>
  <cols>
    <col min="1" max="1" width="44" customWidth="1"/>
    <col min="2" max="2" width="22" customWidth="1"/>
    <col min="3" max="3" width="24" customWidth="1"/>
    <col min="4" max="4" width="22" customWidth="1"/>
    <col min="5" max="5" width="18" customWidth="1"/>
  </cols>
  <sheetData>
    <row r="1" spans="1:5" ht="36" customHeight="1">
      <c r="A1" s="25" t="s">
        <v>61</v>
      </c>
      <c r="B1" s="24"/>
      <c r="C1" s="24"/>
      <c r="D1" s="24"/>
      <c r="E1" s="20"/>
    </row>
    <row r="2" spans="1:5" ht="21.95" customHeight="1">
      <c r="A2" s="23" t="s">
        <v>62</v>
      </c>
      <c r="B2" s="24"/>
      <c r="C2" s="24"/>
      <c r="D2" s="24"/>
      <c r="E2" s="20"/>
    </row>
    <row r="3" spans="1:5" ht="18" customHeight="1">
      <c r="A3" s="26" t="s">
        <v>2</v>
      </c>
      <c r="B3" s="20"/>
      <c r="C3" s="21"/>
      <c r="D3" s="24"/>
      <c r="E3" s="20"/>
    </row>
    <row r="5" spans="1:5" ht="21.95" customHeight="1">
      <c r="A5" s="23" t="s">
        <v>63</v>
      </c>
      <c r="B5" s="24"/>
      <c r="C5" s="24"/>
      <c r="D5" s="24"/>
      <c r="E5" s="20"/>
    </row>
    <row r="6" spans="1:5" ht="57.75" customHeight="1">
      <c r="A6" s="3" t="s">
        <v>64</v>
      </c>
      <c r="B6" s="14" t="s">
        <v>65</v>
      </c>
      <c r="C6" s="15"/>
      <c r="D6" s="3" t="s">
        <v>66</v>
      </c>
      <c r="E6" s="3" t="s">
        <v>67</v>
      </c>
    </row>
    <row r="7" spans="1:5" ht="21.95" customHeight="1">
      <c r="A7" s="2"/>
      <c r="B7" s="16"/>
      <c r="C7" s="17"/>
      <c r="D7" s="2"/>
      <c r="E7" s="2"/>
    </row>
    <row r="8" spans="1:5" ht="21.95" customHeight="1">
      <c r="A8" s="2"/>
      <c r="B8" s="16"/>
      <c r="C8" s="17"/>
      <c r="D8" s="2"/>
      <c r="E8" s="2"/>
    </row>
    <row r="9" spans="1:5" ht="21.95" customHeight="1">
      <c r="A9" s="23" t="s">
        <v>68</v>
      </c>
      <c r="B9" s="24"/>
      <c r="C9" s="24"/>
      <c r="D9" s="24"/>
      <c r="E9" s="20"/>
    </row>
    <row r="10" spans="1:5" ht="21.95" customHeight="1">
      <c r="A10" s="22" t="s">
        <v>69</v>
      </c>
      <c r="B10" s="20"/>
      <c r="C10" s="3" t="s">
        <v>60</v>
      </c>
      <c r="D10" s="22" t="s">
        <v>70</v>
      </c>
      <c r="E10" s="20"/>
    </row>
    <row r="11" spans="1:5" ht="27.95" customHeight="1">
      <c r="A11" s="19" t="s">
        <v>71</v>
      </c>
      <c r="B11" s="20"/>
      <c r="C11" s="2"/>
      <c r="D11" s="21"/>
      <c r="E11" s="20"/>
    </row>
    <row r="12" spans="1:5" ht="27.95" customHeight="1">
      <c r="A12" s="19" t="s">
        <v>72</v>
      </c>
      <c r="B12" s="20"/>
      <c r="C12" s="2"/>
      <c r="D12" s="21"/>
      <c r="E12" s="20"/>
    </row>
    <row r="13" spans="1:5" ht="27.95" customHeight="1">
      <c r="A13" s="19" t="s">
        <v>73</v>
      </c>
      <c r="B13" s="20"/>
      <c r="C13" s="2"/>
      <c r="D13" s="21"/>
      <c r="E13" s="20"/>
    </row>
    <row r="14" spans="1:5" ht="27.95" customHeight="1">
      <c r="A14" s="19" t="s">
        <v>74</v>
      </c>
      <c r="B14" s="20"/>
      <c r="C14" s="2"/>
      <c r="D14" s="21"/>
      <c r="E14" s="20"/>
    </row>
    <row r="15" spans="1:5" ht="21.95" customHeight="1">
      <c r="A15" s="23" t="s">
        <v>75</v>
      </c>
      <c r="B15" s="24"/>
      <c r="C15" s="24"/>
      <c r="D15" s="24"/>
      <c r="E15" s="20"/>
    </row>
    <row r="16" spans="1:5" ht="21.95" customHeight="1">
      <c r="A16" s="22" t="s">
        <v>69</v>
      </c>
      <c r="B16" s="20"/>
      <c r="C16" s="3" t="s">
        <v>60</v>
      </c>
      <c r="D16" s="22" t="s">
        <v>76</v>
      </c>
      <c r="E16" s="20"/>
    </row>
    <row r="17" spans="1:8" ht="27.95" customHeight="1">
      <c r="A17" s="19" t="s">
        <v>77</v>
      </c>
      <c r="B17" s="20"/>
      <c r="C17" s="2"/>
      <c r="D17" s="21"/>
      <c r="E17" s="20"/>
    </row>
    <row r="18" spans="1:8" ht="27.95" customHeight="1">
      <c r="A18" s="19" t="s">
        <v>78</v>
      </c>
      <c r="B18" s="20"/>
      <c r="C18" s="2"/>
      <c r="D18" s="21"/>
      <c r="E18" s="20"/>
    </row>
    <row r="19" spans="1:8" ht="27.95" customHeight="1">
      <c r="A19" s="19" t="s">
        <v>79</v>
      </c>
      <c r="B19" s="20"/>
      <c r="C19" s="2"/>
      <c r="D19" s="21"/>
      <c r="E19" s="20"/>
    </row>
    <row r="20" spans="1:8" ht="34.5" customHeight="1">
      <c r="A20" s="19" t="s">
        <v>80</v>
      </c>
      <c r="B20" s="20"/>
      <c r="C20" s="2"/>
      <c r="D20" s="21"/>
      <c r="E20" s="20"/>
    </row>
    <row r="21" spans="1:8" ht="21.95" customHeight="1">
      <c r="A21" s="23" t="s">
        <v>81</v>
      </c>
      <c r="B21" s="24"/>
      <c r="C21" s="24"/>
      <c r="D21" s="24"/>
      <c r="E21" s="20"/>
    </row>
    <row r="22" spans="1:8" ht="21.95" customHeight="1">
      <c r="A22" s="22" t="s">
        <v>69</v>
      </c>
      <c r="B22" s="20"/>
      <c r="C22" s="3" t="s">
        <v>60</v>
      </c>
      <c r="D22" s="22" t="s">
        <v>76</v>
      </c>
      <c r="E22" s="20"/>
    </row>
    <row r="23" spans="1:8" ht="27.95" customHeight="1">
      <c r="A23" s="19" t="s">
        <v>82</v>
      </c>
      <c r="B23" s="20"/>
      <c r="C23" s="2"/>
      <c r="D23" s="21"/>
      <c r="E23" s="20"/>
    </row>
    <row r="24" spans="1:8" ht="27.95" customHeight="1">
      <c r="A24" s="19" t="s">
        <v>83</v>
      </c>
      <c r="B24" s="20"/>
      <c r="C24" s="2"/>
      <c r="D24" s="21"/>
      <c r="E24" s="20"/>
    </row>
    <row r="25" spans="1:8" ht="32.25" customHeight="1">
      <c r="A25" s="19" t="s">
        <v>84</v>
      </c>
      <c r="B25" s="20"/>
      <c r="C25" s="2"/>
      <c r="D25" s="21"/>
      <c r="E25" s="20"/>
    </row>
    <row r="26" spans="1:8" ht="33" customHeight="1">
      <c r="A26" s="19" t="s">
        <v>85</v>
      </c>
      <c r="B26" s="20"/>
      <c r="C26" s="2"/>
      <c r="D26" s="21"/>
      <c r="E26" s="20"/>
    </row>
    <row r="27" spans="1:8" ht="21.95" customHeight="1">
      <c r="A27" s="23" t="s">
        <v>86</v>
      </c>
      <c r="B27" s="24"/>
      <c r="C27" s="24"/>
      <c r="D27" s="24"/>
      <c r="E27" s="20"/>
    </row>
    <row r="28" spans="1:8" ht="21.95" customHeight="1">
      <c r="A28" s="22" t="s">
        <v>69</v>
      </c>
      <c r="B28" s="20"/>
      <c r="C28" s="3" t="s">
        <v>60</v>
      </c>
      <c r="D28" s="22" t="s">
        <v>76</v>
      </c>
      <c r="E28" s="20"/>
    </row>
    <row r="29" spans="1:8" ht="27.95" customHeight="1">
      <c r="A29" s="19" t="s">
        <v>87</v>
      </c>
      <c r="B29" s="20"/>
      <c r="C29" s="2"/>
      <c r="D29" s="21"/>
      <c r="E29" s="20"/>
    </row>
    <row r="30" spans="1:8" ht="27.95" customHeight="1">
      <c r="A30" s="19" t="s">
        <v>88</v>
      </c>
      <c r="B30" s="20"/>
      <c r="C30" s="2"/>
      <c r="D30" s="21"/>
      <c r="E30" s="20"/>
    </row>
    <row r="31" spans="1:8" ht="27.95" customHeight="1">
      <c r="A31" s="19" t="s">
        <v>89</v>
      </c>
      <c r="B31" s="20"/>
      <c r="C31" s="2"/>
      <c r="D31" s="21"/>
      <c r="E31" s="20"/>
    </row>
    <row r="32" spans="1:8" ht="27.95" customHeight="1">
      <c r="A32" s="19" t="s">
        <v>90</v>
      </c>
      <c r="B32" s="20"/>
      <c r="C32" s="2"/>
      <c r="D32" s="21"/>
      <c r="E32" s="20"/>
      <c r="H32" s="7"/>
    </row>
    <row r="34" spans="1:6">
      <c r="A34" s="10" t="s">
        <v>91</v>
      </c>
      <c r="B34" s="11"/>
      <c r="C34" s="11"/>
      <c r="D34" s="11"/>
      <c r="E34" s="11"/>
    </row>
    <row r="35" spans="1:6">
      <c r="A35" s="8" t="s">
        <v>92</v>
      </c>
      <c r="B35" s="9"/>
      <c r="C35" s="9"/>
      <c r="D35" s="9"/>
      <c r="E35" s="9"/>
    </row>
    <row r="36" spans="1:6">
      <c r="A36" s="12" t="str">
        <f>IF(COUNTIF(C11:C32,"No")&gt;0,
"Not Compliant",
"Compliant")</f>
        <v>Compliant</v>
      </c>
      <c r="B36" s="13"/>
      <c r="C36" s="13"/>
      <c r="D36" s="13"/>
      <c r="E36" s="13"/>
    </row>
    <row r="37" spans="1:6">
      <c r="A37" s="14" t="s">
        <v>59</v>
      </c>
      <c r="B37" s="18"/>
      <c r="C37" s="18"/>
      <c r="D37" s="18"/>
      <c r="E37" s="18"/>
    </row>
    <row r="38" spans="1:6">
      <c r="A38" s="4" t="str" cm="1">
        <f t="array" ref="A38">_xlfn._xlws.FILTER(A11:A32,(C11:C32="No")+(C11:C32="Partially"),"No gaps")</f>
        <v>No gaps</v>
      </c>
      <c r="F38" s="5" t="str" cm="1">
        <f t="array" ref="F38">_xlfn._xlws.FILTER(D2:D97,(D2:D97="No")+(D2:D97="Partially"),"")</f>
        <v/>
      </c>
    </row>
  </sheetData>
  <mergeCells count="55">
    <mergeCell ref="A5:E5"/>
    <mergeCell ref="A9:E9"/>
    <mergeCell ref="A10:B10"/>
    <mergeCell ref="D10:E10"/>
    <mergeCell ref="A1:E1"/>
    <mergeCell ref="A2:E2"/>
    <mergeCell ref="A3:B3"/>
    <mergeCell ref="C3:E3"/>
    <mergeCell ref="A11:B11"/>
    <mergeCell ref="D11:E11"/>
    <mergeCell ref="A12:B12"/>
    <mergeCell ref="D12:E12"/>
    <mergeCell ref="A13:B13"/>
    <mergeCell ref="D13:E13"/>
    <mergeCell ref="A14:B14"/>
    <mergeCell ref="D14:E14"/>
    <mergeCell ref="A15:E15"/>
    <mergeCell ref="A16:B16"/>
    <mergeCell ref="D16:E16"/>
    <mergeCell ref="A20:B20"/>
    <mergeCell ref="D20:E20"/>
    <mergeCell ref="A21:E21"/>
    <mergeCell ref="A17:B17"/>
    <mergeCell ref="D17:E17"/>
    <mergeCell ref="A18:B18"/>
    <mergeCell ref="D18:E18"/>
    <mergeCell ref="A19:B19"/>
    <mergeCell ref="D19:E19"/>
    <mergeCell ref="A25:B25"/>
    <mergeCell ref="D25:E25"/>
    <mergeCell ref="A22:B22"/>
    <mergeCell ref="D22:E22"/>
    <mergeCell ref="A23:B23"/>
    <mergeCell ref="D23:E23"/>
    <mergeCell ref="A37:E37"/>
    <mergeCell ref="A31:B31"/>
    <mergeCell ref="D31:E31"/>
    <mergeCell ref="A32:B32"/>
    <mergeCell ref="D32:E32"/>
    <mergeCell ref="A34:E34"/>
    <mergeCell ref="A36:E36"/>
    <mergeCell ref="B6:C6"/>
    <mergeCell ref="B7:C7"/>
    <mergeCell ref="B8:C8"/>
    <mergeCell ref="A28:B28"/>
    <mergeCell ref="D28:E28"/>
    <mergeCell ref="A29:B29"/>
    <mergeCell ref="D29:E29"/>
    <mergeCell ref="A30:B30"/>
    <mergeCell ref="D30:E30"/>
    <mergeCell ref="A26:B26"/>
    <mergeCell ref="D26:E26"/>
    <mergeCell ref="A27:E27"/>
    <mergeCell ref="A24:B24"/>
    <mergeCell ref="D24:E24"/>
  </mergeCells>
  <conditionalFormatting sqref="A36">
    <cfRule type="expression" dxfId="1" priority="3">
      <formula>A36:B36="Not Compliant"</formula>
    </cfRule>
  </conditionalFormatting>
  <conditionalFormatting sqref="A36">
    <cfRule type="expression" dxfId="0" priority="1">
      <formula>A11:A32="Compliant"</formula>
    </cfRule>
  </conditionalFormatting>
  <dataValidations count="3">
    <dataValidation type="list" allowBlank="1" showInputMessage="1" showErrorMessage="1" sqref="D7:D8" xr:uid="{A158EE25-C771-4CDC-84F2-F8612A6C4D1A}">
      <formula1>"Yes,No"</formula1>
    </dataValidation>
    <dataValidation type="list" allowBlank="1" showInputMessage="1" showErrorMessage="1" sqref="B7:C8" xr:uid="{7FA9903D-AF6C-49D2-944E-CA339E2A8C89}">
      <formula1>"C0,C1,C2,C3,C4"</formula1>
    </dataValidation>
    <dataValidation type="list" allowBlank="1" showInputMessage="1" showErrorMessage="1" sqref="C11:C14 C17:C20 C23:C26 C29:C32" xr:uid="{157D2949-9D02-4D5C-9060-A1A123CA7E91}">
      <formula1>"Yes,No,Not Applicable"</formula1>
    </dataValidation>
  </dataValidations>
  <pageMargins left="0.5" right="0.5" top="0.5" bottom="0.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E99A-0B19-4709-BAC9-0231DBE54841}">
  <sheetPr>
    <pageSetUpPr fitToPage="1"/>
  </sheetPr>
  <dimension ref="A1:F18"/>
  <sheetViews>
    <sheetView tabSelected="1" workbookViewId="0">
      <pane ySplit="1" topLeftCell="A12" activePane="bottomLeft" state="frozen"/>
      <selection pane="bottomLeft" activeCell="H16" sqref="H16"/>
    </sheetView>
  </sheetViews>
  <sheetFormatPr defaultRowHeight="15"/>
  <cols>
    <col min="1" max="1" width="36" customWidth="1"/>
    <col min="2" max="2" width="18" customWidth="1"/>
    <col min="3" max="4" width="20" customWidth="1"/>
    <col min="5" max="6" width="18" customWidth="1"/>
  </cols>
  <sheetData>
    <row r="1" spans="1:6" ht="36" customHeight="1">
      <c r="A1" s="35" t="s">
        <v>93</v>
      </c>
      <c r="B1" s="24"/>
      <c r="C1" s="24"/>
      <c r="D1" s="24"/>
      <c r="E1" s="24"/>
      <c r="F1" s="20"/>
    </row>
    <row r="2" spans="1:6" ht="21.95" customHeight="1">
      <c r="A2" s="23" t="s">
        <v>62</v>
      </c>
      <c r="B2" s="24"/>
      <c r="C2" s="24"/>
      <c r="D2" s="24"/>
      <c r="E2" s="24"/>
      <c r="F2" s="20"/>
    </row>
    <row r="3" spans="1:6" ht="18" customHeight="1">
      <c r="A3" s="26" t="s">
        <v>2</v>
      </c>
      <c r="B3" s="20"/>
      <c r="C3" s="21"/>
      <c r="D3" s="24"/>
      <c r="E3" s="24"/>
      <c r="F3" s="20"/>
    </row>
    <row r="4" spans="1:6" ht="18" customHeight="1">
      <c r="A4" s="26" t="s">
        <v>3</v>
      </c>
      <c r="B4" s="20"/>
      <c r="C4" s="21"/>
      <c r="D4" s="24"/>
      <c r="E4" s="24"/>
      <c r="F4" s="20"/>
    </row>
    <row r="6" spans="1:6" ht="21.95" customHeight="1">
      <c r="A6" s="23" t="s">
        <v>94</v>
      </c>
      <c r="B6" s="24"/>
      <c r="C6" s="24"/>
      <c r="D6" s="24"/>
      <c r="E6" s="24"/>
      <c r="F6" s="20"/>
    </row>
    <row r="7" spans="1:6" ht="48.75" customHeight="1">
      <c r="A7" s="3" t="s">
        <v>95</v>
      </c>
      <c r="B7" s="3" t="s">
        <v>96</v>
      </c>
      <c r="C7" s="3" t="s">
        <v>97</v>
      </c>
      <c r="D7" s="3" t="s">
        <v>98</v>
      </c>
      <c r="E7" s="36" t="s">
        <v>76</v>
      </c>
      <c r="F7" s="37"/>
    </row>
    <row r="8" spans="1:6" ht="39.950000000000003" customHeight="1">
      <c r="A8" s="2"/>
      <c r="B8" s="2"/>
      <c r="C8" s="2"/>
      <c r="D8" s="39"/>
      <c r="E8" s="40"/>
      <c r="F8" s="40"/>
    </row>
    <row r="9" spans="1:6" ht="39.950000000000003" customHeight="1">
      <c r="A9" s="2"/>
      <c r="B9" s="2"/>
      <c r="C9" s="2"/>
      <c r="D9" s="39"/>
      <c r="E9" s="40"/>
      <c r="F9" s="40"/>
    </row>
    <row r="10" spans="1:6" ht="39.950000000000003" customHeight="1">
      <c r="A10" s="2"/>
      <c r="B10" s="2"/>
      <c r="C10" s="2"/>
      <c r="D10" s="39"/>
      <c r="E10" s="38"/>
      <c r="F10" s="38"/>
    </row>
    <row r="12" spans="1:6" ht="20.100000000000001" customHeight="1">
      <c r="A12" s="26" t="s">
        <v>99</v>
      </c>
      <c r="B12" s="24"/>
      <c r="C12" s="24"/>
      <c r="D12" s="24"/>
      <c r="E12" s="24"/>
      <c r="F12" s="20"/>
    </row>
    <row r="13" spans="1:6" ht="50.1" customHeight="1">
      <c r="A13" s="21"/>
      <c r="B13" s="24"/>
      <c r="C13" s="24"/>
      <c r="D13" s="24"/>
      <c r="E13" s="24"/>
      <c r="F13" s="20"/>
    </row>
    <row r="14" spans="1:6" ht="21.95" customHeight="1">
      <c r="A14" s="23" t="s">
        <v>100</v>
      </c>
      <c r="B14" s="24"/>
      <c r="C14" s="24"/>
      <c r="D14" s="24"/>
      <c r="E14" s="24"/>
      <c r="F14" s="20"/>
    </row>
    <row r="15" spans="1:6" ht="39.75" customHeight="1">
      <c r="A15" s="3" t="s">
        <v>101</v>
      </c>
      <c r="B15" s="14" t="s">
        <v>102</v>
      </c>
      <c r="C15" s="15"/>
      <c r="D15" s="36" t="s">
        <v>76</v>
      </c>
      <c r="E15" s="37"/>
      <c r="F15" s="37"/>
    </row>
    <row r="16" spans="1:6" ht="43.5" customHeight="1">
      <c r="A16" s="1" t="s">
        <v>103</v>
      </c>
      <c r="B16" s="16"/>
      <c r="C16" s="17"/>
      <c r="D16" s="40"/>
      <c r="E16" s="40"/>
      <c r="F16" s="40"/>
    </row>
    <row r="17" spans="1:6" ht="35.25" customHeight="1">
      <c r="A17" s="1" t="s">
        <v>104</v>
      </c>
      <c r="B17" s="16"/>
      <c r="C17" s="17"/>
      <c r="D17" s="40"/>
      <c r="E17" s="40"/>
      <c r="F17" s="40"/>
    </row>
    <row r="18" spans="1:6" ht="40.5" customHeight="1">
      <c r="A18" s="1" t="s">
        <v>105</v>
      </c>
      <c r="B18" s="16"/>
      <c r="C18" s="17"/>
      <c r="D18" s="38"/>
      <c r="E18" s="38"/>
      <c r="F18" s="38"/>
    </row>
  </sheetData>
  <mergeCells count="22">
    <mergeCell ref="D18:F18"/>
    <mergeCell ref="B16:C16"/>
    <mergeCell ref="B17:C17"/>
    <mergeCell ref="B18:C18"/>
    <mergeCell ref="A13:F13"/>
    <mergeCell ref="A14:F14"/>
    <mergeCell ref="E7:F7"/>
    <mergeCell ref="E8:F8"/>
    <mergeCell ref="E9:F9"/>
    <mergeCell ref="E10:F10"/>
    <mergeCell ref="A6:F6"/>
    <mergeCell ref="A12:F12"/>
    <mergeCell ref="B15:C15"/>
    <mergeCell ref="D15:F15"/>
    <mergeCell ref="D16:F16"/>
    <mergeCell ref="D17:F17"/>
    <mergeCell ref="A4:B4"/>
    <mergeCell ref="C4:F4"/>
    <mergeCell ref="A1:F1"/>
    <mergeCell ref="A2:F2"/>
    <mergeCell ref="A3:B3"/>
    <mergeCell ref="C3:F3"/>
  </mergeCells>
  <dataValidations count="2">
    <dataValidation type="list" allowBlank="1" showInputMessage="1" showErrorMessage="1" sqref="C4:F4" xr:uid="{4611B759-38F2-4787-B7E6-676014B6872A}">
      <formula1>"PoC,Production"</formula1>
    </dataValidation>
    <dataValidation type="list" allowBlank="1" showInputMessage="1" showErrorMessage="1" sqref="D8:D10" xr:uid="{5043B5BB-BB41-40F3-AE35-FE3ECA94D380}">
      <formula1>"Yes,No"</formula1>
    </dataValidation>
  </dataValidations>
  <pageMargins left="0.5" right="0.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2026-05-30T11:32:35Z</dcterms:created>
  <dcterms:modified xsi:type="dcterms:W3CDTF">2026-05-31T11:03:05Z</dcterms:modified>
  <cp:category/>
  <cp:contentStatus/>
</cp:coreProperties>
</file>